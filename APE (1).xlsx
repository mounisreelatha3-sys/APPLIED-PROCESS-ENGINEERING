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DD379B5EF09780/Documents/"/>
    </mc:Choice>
  </mc:AlternateContent>
  <xr:revisionPtr revIDLastSave="258" documentId="8_{FCC6C957-0696-4B09-A742-92940FB2E053}" xr6:coauthVersionLast="47" xr6:coauthVersionMax="47" xr10:uidLastSave="{6702AFCC-3833-4C42-BF0D-445A6ECFCBE7}"/>
  <bookViews>
    <workbookView xWindow="-96" yWindow="0" windowWidth="11712" windowHeight="12336" firstSheet="2" activeTab="4" xr2:uid="{F02C6331-0847-4BB5-97CD-6F04495990E7}"/>
  </bookViews>
  <sheets>
    <sheet name="MATERIAL BALANCE" sheetId="1" r:id="rId1"/>
    <sheet name="ENERGY BALANCE" sheetId="2" r:id="rId2"/>
    <sheet name="fluids" sheetId="3" r:id="rId3"/>
    <sheet name="HEAT TRANSFER" sheetId="7" r:id="rId4"/>
    <sheet name="Sheet1" sheetId="9" r:id="rId5"/>
  </sheets>
  <definedNames>
    <definedName name="_xlnm._FilterDatabase" localSheetId="1" hidden="1">'ENERGY BALANCE'!$U$24:$W$24</definedName>
    <definedName name="_xlnm._FilterDatabase" localSheetId="3" hidden="1">'HEAT TRANSFER'!$U$24:$W$24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2" i="7" l="1"/>
  <c r="H191" i="7"/>
  <c r="G191" i="7"/>
  <c r="F191" i="7"/>
  <c r="E191" i="7"/>
  <c r="H190" i="7"/>
  <c r="G190" i="7"/>
  <c r="F190" i="7"/>
  <c r="E190" i="7"/>
  <c r="H189" i="7"/>
  <c r="G189" i="7"/>
  <c r="F189" i="7"/>
  <c r="E189" i="7"/>
  <c r="C187" i="7"/>
  <c r="G184" i="7"/>
  <c r="C180" i="7"/>
  <c r="E179" i="7"/>
  <c r="G174" i="7"/>
  <c r="H173" i="7"/>
  <c r="G173" i="7"/>
  <c r="F173" i="7"/>
  <c r="E173" i="7"/>
  <c r="H172" i="7"/>
  <c r="G172" i="7"/>
  <c r="F172" i="7"/>
  <c r="E172" i="7"/>
  <c r="H171" i="7"/>
  <c r="G171" i="7"/>
  <c r="F171" i="7"/>
  <c r="E171" i="7"/>
  <c r="H170" i="7"/>
  <c r="G170" i="7"/>
  <c r="F170" i="7"/>
  <c r="E170" i="7"/>
  <c r="H169" i="7"/>
  <c r="G169" i="7"/>
  <c r="F169" i="7"/>
  <c r="E169" i="7"/>
  <c r="C167" i="7"/>
  <c r="J175" i="7" s="1"/>
  <c r="G164" i="7"/>
  <c r="C156" i="7"/>
  <c r="J161" i="7" s="1"/>
  <c r="G151" i="7"/>
  <c r="C143" i="7"/>
  <c r="J149" i="7" s="1"/>
  <c r="G140" i="7"/>
  <c r="C132" i="7"/>
  <c r="J136" i="7" s="1"/>
  <c r="E130" i="7"/>
  <c r="G126" i="7"/>
  <c r="C116" i="7"/>
  <c r="C111" i="7"/>
  <c r="G110" i="7"/>
  <c r="C101" i="7"/>
  <c r="J108" i="7" s="1"/>
  <c r="E100" i="7"/>
  <c r="G92" i="7"/>
  <c r="C83" i="7"/>
  <c r="G79" i="7"/>
  <c r="X78" i="7"/>
  <c r="Y77" i="7"/>
  <c r="X77" i="7"/>
  <c r="Y76" i="7"/>
  <c r="X76" i="7"/>
  <c r="W76" i="7"/>
  <c r="V76" i="7"/>
  <c r="Y75" i="7"/>
  <c r="X75" i="7"/>
  <c r="W75" i="7"/>
  <c r="V75" i="7"/>
  <c r="V72" i="7"/>
  <c r="C72" i="7"/>
  <c r="J76" i="7" s="1"/>
  <c r="V71" i="7"/>
  <c r="E70" i="7"/>
  <c r="X67" i="7"/>
  <c r="G65" i="7"/>
  <c r="V58" i="7"/>
  <c r="C58" i="7"/>
  <c r="V57" i="7"/>
  <c r="X53" i="7"/>
  <c r="G53" i="7"/>
  <c r="C50" i="7"/>
  <c r="J52" i="7" s="1"/>
  <c r="Y45" i="7"/>
  <c r="X45" i="7"/>
  <c r="W45" i="7"/>
  <c r="C44" i="7"/>
  <c r="J48" i="7" s="1"/>
  <c r="E43" i="7"/>
  <c r="V42" i="7"/>
  <c r="V41" i="7"/>
  <c r="X37" i="7"/>
  <c r="C34" i="7"/>
  <c r="J36" i="7" s="1"/>
  <c r="Y30" i="7"/>
  <c r="X30" i="7"/>
  <c r="W30" i="7"/>
  <c r="C29" i="7"/>
  <c r="J30" i="7" s="1"/>
  <c r="V27" i="7"/>
  <c r="V26" i="7"/>
  <c r="C26" i="7"/>
  <c r="J27" i="7" s="1"/>
  <c r="E24" i="7"/>
  <c r="X22" i="7"/>
  <c r="Y19" i="7"/>
  <c r="X19" i="7"/>
  <c r="W19" i="7"/>
  <c r="V16" i="7"/>
  <c r="AA20" i="7" s="1"/>
  <c r="J16" i="7"/>
  <c r="J15" i="7"/>
  <c r="H15" i="7"/>
  <c r="G15" i="7"/>
  <c r="F15" i="7"/>
  <c r="J14" i="7"/>
  <c r="J11" i="7"/>
  <c r="J10" i="7"/>
  <c r="AG9" i="7"/>
  <c r="J9" i="7"/>
  <c r="Y8" i="7"/>
  <c r="X8" i="7"/>
  <c r="W8" i="7"/>
  <c r="H8" i="7"/>
  <c r="G8" i="7"/>
  <c r="F8" i="7"/>
  <c r="C8" i="7"/>
  <c r="V5" i="7"/>
  <c r="C5" i="7"/>
  <c r="D5" i="7" s="1"/>
  <c r="A5" i="7"/>
  <c r="B5" i="7" s="1"/>
  <c r="V4" i="7"/>
  <c r="U355" i="3"/>
  <c r="U352" i="3"/>
  <c r="O350" i="3"/>
  <c r="U348" i="3"/>
  <c r="U350" i="3" s="1"/>
  <c r="O348" i="3"/>
  <c r="O347" i="3" s="1"/>
  <c r="U341" i="3"/>
  <c r="U340" i="3"/>
  <c r="U339" i="3"/>
  <c r="U338" i="3"/>
  <c r="Q337" i="3"/>
  <c r="O337" i="3"/>
  <c r="Q336" i="3"/>
  <c r="O336" i="3"/>
  <c r="Q335" i="3"/>
  <c r="O335" i="3"/>
  <c r="O331" i="3"/>
  <c r="O330" i="3"/>
  <c r="O329" i="3"/>
  <c r="F365" i="3"/>
  <c r="F374" i="3" s="1"/>
  <c r="J385" i="3"/>
  <c r="J382" i="3"/>
  <c r="D380" i="3"/>
  <c r="J378" i="3"/>
  <c r="J380" i="3" s="1"/>
  <c r="D378" i="3"/>
  <c r="D377" i="3" s="1"/>
  <c r="E374" i="3"/>
  <c r="D365" i="3"/>
  <c r="D361" i="3"/>
  <c r="D360" i="3"/>
  <c r="D359" i="3"/>
  <c r="Q307" i="3"/>
  <c r="Q306" i="3"/>
  <c r="Q305" i="3"/>
  <c r="F335" i="3"/>
  <c r="F336" i="3"/>
  <c r="J355" i="3"/>
  <c r="J352" i="3"/>
  <c r="D350" i="3"/>
  <c r="J348" i="3"/>
  <c r="J350" i="3" s="1"/>
  <c r="D348" i="3"/>
  <c r="D347" i="3" s="1"/>
  <c r="J341" i="3"/>
  <c r="J340" i="3"/>
  <c r="J339" i="3"/>
  <c r="J338" i="3"/>
  <c r="D336" i="3"/>
  <c r="D335" i="3"/>
  <c r="D331" i="3"/>
  <c r="D330" i="3"/>
  <c r="D329" i="3"/>
  <c r="U325" i="3"/>
  <c r="U322" i="3"/>
  <c r="O320" i="3"/>
  <c r="U318" i="3"/>
  <c r="U320" i="3" s="1"/>
  <c r="O318" i="3"/>
  <c r="O317" i="3" s="1"/>
  <c r="U311" i="3"/>
  <c r="U310" i="3"/>
  <c r="U309" i="3"/>
  <c r="U308" i="3"/>
  <c r="O307" i="3"/>
  <c r="O306" i="3"/>
  <c r="O305" i="3"/>
  <c r="O301" i="3"/>
  <c r="O300" i="3"/>
  <c r="O299" i="3"/>
  <c r="J325" i="3"/>
  <c r="J322" i="3"/>
  <c r="D320" i="3"/>
  <c r="J318" i="3"/>
  <c r="J320" i="3" s="1"/>
  <c r="D318" i="3"/>
  <c r="D317" i="3" s="1"/>
  <c r="J311" i="3"/>
  <c r="J310" i="3"/>
  <c r="J309" i="3"/>
  <c r="J308" i="3"/>
  <c r="F307" i="3"/>
  <c r="D307" i="3"/>
  <c r="F306" i="3"/>
  <c r="D306" i="3"/>
  <c r="F305" i="3"/>
  <c r="D305" i="3"/>
  <c r="D301" i="3"/>
  <c r="D300" i="3"/>
  <c r="D299" i="3"/>
  <c r="Q277" i="3"/>
  <c r="Q276" i="3"/>
  <c r="Q275" i="3"/>
  <c r="Q274" i="3"/>
  <c r="O277" i="3"/>
  <c r="U294" i="3"/>
  <c r="U291" i="3"/>
  <c r="O289" i="3"/>
  <c r="U287" i="3"/>
  <c r="U289" i="3" s="1"/>
  <c r="O287" i="3"/>
  <c r="O286" i="3" s="1"/>
  <c r="U280" i="3"/>
  <c r="U279" i="3"/>
  <c r="U278" i="3"/>
  <c r="O276" i="3"/>
  <c r="O275" i="3"/>
  <c r="O274" i="3"/>
  <c r="O270" i="3"/>
  <c r="O269" i="3"/>
  <c r="O268" i="3"/>
  <c r="F276" i="3"/>
  <c r="F275" i="3"/>
  <c r="F274" i="3"/>
  <c r="J294" i="3"/>
  <c r="J291" i="3"/>
  <c r="D289" i="3"/>
  <c r="J287" i="3"/>
  <c r="J289" i="3" s="1"/>
  <c r="D287" i="3"/>
  <c r="D286" i="3" s="1"/>
  <c r="J280" i="3"/>
  <c r="J279" i="3"/>
  <c r="J278" i="3"/>
  <c r="J277" i="3"/>
  <c r="D276" i="3"/>
  <c r="D275" i="3"/>
  <c r="D274" i="3"/>
  <c r="D270" i="3"/>
  <c r="D269" i="3"/>
  <c r="D268" i="3"/>
  <c r="U264" i="3"/>
  <c r="U261" i="3"/>
  <c r="O259" i="3"/>
  <c r="U257" i="3"/>
  <c r="U259" i="3" s="1"/>
  <c r="O257" i="3"/>
  <c r="O256" i="3" s="1"/>
  <c r="U250" i="3"/>
  <c r="U249" i="3"/>
  <c r="U248" i="3"/>
  <c r="U247" i="3"/>
  <c r="O246" i="3"/>
  <c r="O245" i="3"/>
  <c r="O244" i="3"/>
  <c r="O240" i="3"/>
  <c r="O239" i="3"/>
  <c r="O238" i="3"/>
  <c r="J264" i="3"/>
  <c r="J261" i="3"/>
  <c r="D259" i="3"/>
  <c r="J257" i="3"/>
  <c r="J259" i="3" s="1"/>
  <c r="D257" i="3"/>
  <c r="D256" i="3" s="1"/>
  <c r="D246" i="3"/>
  <c r="D245" i="3"/>
  <c r="D244" i="3"/>
  <c r="D240" i="3"/>
  <c r="D239" i="3"/>
  <c r="D238" i="3"/>
  <c r="U233" i="3"/>
  <c r="U230" i="3"/>
  <c r="O228" i="3"/>
  <c r="U226" i="3"/>
  <c r="U228" i="3" s="1"/>
  <c r="O226" i="3"/>
  <c r="O225" i="3" s="1"/>
  <c r="O219" i="3"/>
  <c r="O217" i="3"/>
  <c r="O216" i="3"/>
  <c r="O215" i="3"/>
  <c r="O214" i="3"/>
  <c r="O213" i="3"/>
  <c r="O209" i="3"/>
  <c r="O208" i="3"/>
  <c r="O207" i="3"/>
  <c r="AK176" i="3"/>
  <c r="AL167" i="3"/>
  <c r="AL176" i="3" s="1"/>
  <c r="AP187" i="3"/>
  <c r="AP184" i="3"/>
  <c r="AJ182" i="3"/>
  <c r="AP180" i="3"/>
  <c r="AP182" i="3" s="1"/>
  <c r="AJ180" i="3"/>
  <c r="AJ179" i="3" s="1"/>
  <c r="AJ167" i="3"/>
  <c r="AJ163" i="3"/>
  <c r="AJ162" i="3"/>
  <c r="AJ161" i="3"/>
  <c r="J233" i="3"/>
  <c r="J230" i="3"/>
  <c r="D228" i="3"/>
  <c r="J226" i="3"/>
  <c r="J228" i="3" s="1"/>
  <c r="D226" i="3"/>
  <c r="D225" i="3" s="1"/>
  <c r="D219" i="3"/>
  <c r="D218" i="3"/>
  <c r="D217" i="3"/>
  <c r="D216" i="3"/>
  <c r="D215" i="3"/>
  <c r="D214" i="3"/>
  <c r="D213" i="3"/>
  <c r="D209" i="3"/>
  <c r="D208" i="3"/>
  <c r="D207" i="3"/>
  <c r="O195" i="3"/>
  <c r="O194" i="3" s="1"/>
  <c r="U202" i="3"/>
  <c r="U195" i="3"/>
  <c r="U197" i="3" s="1"/>
  <c r="O197" i="3"/>
  <c r="U199" i="3"/>
  <c r="O182" i="3"/>
  <c r="Q182" i="3"/>
  <c r="O183" i="3"/>
  <c r="Q183" i="3"/>
  <c r="O184" i="3"/>
  <c r="Q184" i="3"/>
  <c r="O185" i="3"/>
  <c r="Q185" i="3"/>
  <c r="O186" i="3"/>
  <c r="Q186" i="3"/>
  <c r="O187" i="3"/>
  <c r="Q187" i="3"/>
  <c r="O188" i="3"/>
  <c r="Q188" i="3"/>
  <c r="O176" i="3"/>
  <c r="O177" i="3"/>
  <c r="O178" i="3"/>
  <c r="F159" i="3"/>
  <c r="D159" i="3"/>
  <c r="J202" i="3"/>
  <c r="D195" i="3"/>
  <c r="D194" i="3" s="1"/>
  <c r="J195" i="3"/>
  <c r="J197" i="3" s="1"/>
  <c r="D197" i="3"/>
  <c r="J199" i="3"/>
  <c r="D182" i="3"/>
  <c r="F182" i="3"/>
  <c r="D183" i="3"/>
  <c r="F183" i="3"/>
  <c r="D184" i="3"/>
  <c r="F184" i="3"/>
  <c r="D185" i="3"/>
  <c r="F185" i="3"/>
  <c r="D186" i="3"/>
  <c r="F186" i="3"/>
  <c r="D187" i="3"/>
  <c r="F187" i="3"/>
  <c r="D188" i="3"/>
  <c r="F188" i="3"/>
  <c r="D176" i="3"/>
  <c r="D177" i="3"/>
  <c r="D178" i="3"/>
  <c r="U172" i="3"/>
  <c r="O165" i="3"/>
  <c r="O164" i="3" s="1"/>
  <c r="U165" i="3"/>
  <c r="U167" i="3" s="1"/>
  <c r="O167" i="3"/>
  <c r="U169" i="3"/>
  <c r="O152" i="3"/>
  <c r="Q152" i="3"/>
  <c r="O153" i="3"/>
  <c r="Q153" i="3"/>
  <c r="O154" i="3"/>
  <c r="Q154" i="3"/>
  <c r="O155" i="3"/>
  <c r="Q155" i="3"/>
  <c r="O156" i="3"/>
  <c r="Q156" i="3"/>
  <c r="O157" i="3"/>
  <c r="Q157" i="3"/>
  <c r="O158" i="3"/>
  <c r="Q158" i="3"/>
  <c r="O146" i="3"/>
  <c r="O147" i="3"/>
  <c r="O148" i="3"/>
  <c r="J169" i="3"/>
  <c r="J172" i="3"/>
  <c r="J165" i="3"/>
  <c r="U135" i="3"/>
  <c r="D165" i="3"/>
  <c r="D164" i="3" s="1"/>
  <c r="D167" i="3"/>
  <c r="J140" i="3"/>
  <c r="J137" i="3"/>
  <c r="J133" i="3"/>
  <c r="U139" i="3"/>
  <c r="D133" i="3"/>
  <c r="D132" i="3" s="1"/>
  <c r="P137" i="3"/>
  <c r="P135" i="3"/>
  <c r="P134" i="3" s="1"/>
  <c r="F158" i="3"/>
  <c r="F157" i="3"/>
  <c r="F156" i="3"/>
  <c r="F155" i="3"/>
  <c r="F154" i="3"/>
  <c r="F153" i="3"/>
  <c r="F152" i="3"/>
  <c r="D152" i="3"/>
  <c r="D153" i="3"/>
  <c r="D154" i="3"/>
  <c r="D155" i="3"/>
  <c r="D156" i="3"/>
  <c r="D157" i="3"/>
  <c r="D158" i="3"/>
  <c r="D146" i="3"/>
  <c r="D147" i="3"/>
  <c r="D148" i="3"/>
  <c r="F127" i="3"/>
  <c r="F126" i="3"/>
  <c r="F125" i="3"/>
  <c r="F124" i="3"/>
  <c r="F123" i="3"/>
  <c r="F122" i="3"/>
  <c r="R128" i="3"/>
  <c r="R129" i="3"/>
  <c r="R127" i="3"/>
  <c r="R126" i="3"/>
  <c r="R125" i="3"/>
  <c r="R124" i="3"/>
  <c r="R123" i="3"/>
  <c r="R122" i="3"/>
  <c r="F121" i="3"/>
  <c r="P129" i="3"/>
  <c r="P122" i="3"/>
  <c r="P123" i="3"/>
  <c r="P124" i="3"/>
  <c r="P125" i="3"/>
  <c r="P126" i="3"/>
  <c r="P127" i="3"/>
  <c r="P128" i="3"/>
  <c r="P118" i="3"/>
  <c r="P117" i="3"/>
  <c r="P116" i="3"/>
  <c r="D116" i="3"/>
  <c r="D117" i="3"/>
  <c r="D122" i="3"/>
  <c r="D123" i="3"/>
  <c r="D124" i="3"/>
  <c r="D125" i="3"/>
  <c r="D126" i="3"/>
  <c r="D127" i="3"/>
  <c r="E127" i="3"/>
  <c r="E126" i="3"/>
  <c r="E125" i="3"/>
  <c r="E124" i="3"/>
  <c r="E123" i="3"/>
  <c r="E122" i="3"/>
  <c r="E121" i="3"/>
  <c r="C118" i="3"/>
  <c r="D118" i="3" s="1"/>
  <c r="D121" i="3"/>
  <c r="V111" i="3"/>
  <c r="V108" i="3"/>
  <c r="V107" i="3"/>
  <c r="V104" i="3"/>
  <c r="P106" i="3"/>
  <c r="P105" i="3" s="1"/>
  <c r="O104" i="3"/>
  <c r="R99" i="3"/>
  <c r="R98" i="3"/>
  <c r="R97" i="3"/>
  <c r="R96" i="3"/>
  <c r="R95" i="3"/>
  <c r="R94" i="3"/>
  <c r="R93" i="3"/>
  <c r="P99" i="3"/>
  <c r="P98" i="3"/>
  <c r="P97" i="3"/>
  <c r="P96" i="3"/>
  <c r="P95" i="3"/>
  <c r="P94" i="3"/>
  <c r="P93" i="3"/>
  <c r="P90" i="3"/>
  <c r="P89" i="3"/>
  <c r="P88" i="3"/>
  <c r="K111" i="3"/>
  <c r="K108" i="3"/>
  <c r="K104" i="3"/>
  <c r="K106" i="3" s="1"/>
  <c r="K76" i="3"/>
  <c r="K78" i="3" s="1"/>
  <c r="D106" i="3"/>
  <c r="D105" i="3" s="1"/>
  <c r="K80" i="3"/>
  <c r="F99" i="3"/>
  <c r="F98" i="3"/>
  <c r="F97" i="3"/>
  <c r="F96" i="3"/>
  <c r="F95" i="3"/>
  <c r="F94" i="3"/>
  <c r="F93" i="3"/>
  <c r="E93" i="3"/>
  <c r="D99" i="3"/>
  <c r="D98" i="3"/>
  <c r="D97" i="3"/>
  <c r="D96" i="3"/>
  <c r="D95" i="3"/>
  <c r="D94" i="3"/>
  <c r="D93" i="3"/>
  <c r="D90" i="3"/>
  <c r="D89" i="3"/>
  <c r="D88" i="3"/>
  <c r="R28" i="3"/>
  <c r="V36" i="3"/>
  <c r="P36" i="3"/>
  <c r="P35" i="3" s="1"/>
  <c r="V32" i="3"/>
  <c r="V34" i="3" s="1"/>
  <c r="P28" i="3"/>
  <c r="P24" i="3"/>
  <c r="P23" i="3"/>
  <c r="V12" i="3"/>
  <c r="V14" i="3" s="1"/>
  <c r="V16" i="3"/>
  <c r="P16" i="3"/>
  <c r="P15" i="3" s="1"/>
  <c r="R8" i="3"/>
  <c r="P8" i="3"/>
  <c r="P11" i="3" s="1"/>
  <c r="P4" i="3"/>
  <c r="P3" i="3"/>
  <c r="R70" i="3"/>
  <c r="V80" i="3"/>
  <c r="P80" i="3"/>
  <c r="P79" i="3" s="1"/>
  <c r="V76" i="3"/>
  <c r="V78" i="3" s="1"/>
  <c r="P70" i="3"/>
  <c r="P66" i="3"/>
  <c r="P65" i="3"/>
  <c r="V56" i="3"/>
  <c r="K36" i="3"/>
  <c r="K16" i="3"/>
  <c r="K56" i="3"/>
  <c r="F73" i="3"/>
  <c r="F72" i="3"/>
  <c r="F71" i="3"/>
  <c r="F70" i="3"/>
  <c r="D71" i="3"/>
  <c r="D72" i="3"/>
  <c r="D73" i="3"/>
  <c r="D80" i="3"/>
  <c r="D79" i="3" s="1"/>
  <c r="D70" i="3"/>
  <c r="D66" i="3"/>
  <c r="D65" i="3"/>
  <c r="R48" i="3"/>
  <c r="P56" i="3"/>
  <c r="P55" i="3" s="1"/>
  <c r="V52" i="3"/>
  <c r="V54" i="3" s="1"/>
  <c r="P48" i="3"/>
  <c r="P44" i="3"/>
  <c r="P43" i="3"/>
  <c r="K52" i="3"/>
  <c r="F48" i="3"/>
  <c r="E48" i="3"/>
  <c r="D56" i="3"/>
  <c r="D55" i="3" s="1"/>
  <c r="K55" i="3"/>
  <c r="D48" i="3"/>
  <c r="D44" i="3"/>
  <c r="D43" i="3"/>
  <c r="D36" i="3"/>
  <c r="D35" i="3" s="1"/>
  <c r="K35" i="3"/>
  <c r="K32" i="3"/>
  <c r="F28" i="3"/>
  <c r="E28" i="3"/>
  <c r="D28" i="3"/>
  <c r="D31" i="3" s="1"/>
  <c r="D24" i="3"/>
  <c r="D23" i="3"/>
  <c r="E9" i="3"/>
  <c r="E8" i="3"/>
  <c r="F9" i="3"/>
  <c r="F8" i="3"/>
  <c r="K15" i="3"/>
  <c r="D16" i="3"/>
  <c r="D15" i="3" s="1"/>
  <c r="K12" i="3"/>
  <c r="D4" i="3"/>
  <c r="D3" i="3"/>
  <c r="D9" i="3"/>
  <c r="D8" i="3"/>
  <c r="C156" i="2"/>
  <c r="J158" i="2" s="1"/>
  <c r="G164" i="2"/>
  <c r="C167" i="2"/>
  <c r="J174" i="2" s="1"/>
  <c r="E169" i="2"/>
  <c r="F169" i="2"/>
  <c r="G169" i="2"/>
  <c r="H169" i="2"/>
  <c r="E170" i="2"/>
  <c r="F170" i="2"/>
  <c r="G170" i="2"/>
  <c r="H170" i="2"/>
  <c r="E171" i="2"/>
  <c r="F171" i="2"/>
  <c r="G171" i="2"/>
  <c r="H171" i="2"/>
  <c r="E172" i="2"/>
  <c r="F172" i="2"/>
  <c r="G172" i="2"/>
  <c r="H172" i="2"/>
  <c r="E173" i="2"/>
  <c r="F173" i="2"/>
  <c r="G173" i="2"/>
  <c r="H173" i="2"/>
  <c r="G174" i="2"/>
  <c r="AD65" i="7" l="1"/>
  <c r="AA65" i="7"/>
  <c r="D253" i="3"/>
  <c r="J253" i="3" s="1"/>
  <c r="J139" i="7"/>
  <c r="M140" i="7"/>
  <c r="L75" i="7"/>
  <c r="AA76" i="7"/>
  <c r="AD48" i="7"/>
  <c r="K53" i="7"/>
  <c r="M104" i="7"/>
  <c r="M27" i="7"/>
  <c r="L174" i="7"/>
  <c r="M109" i="7"/>
  <c r="L109" i="7"/>
  <c r="AC33" i="7"/>
  <c r="L74" i="7"/>
  <c r="J78" i="7"/>
  <c r="M171" i="7"/>
  <c r="J172" i="7"/>
  <c r="AA75" i="7"/>
  <c r="L92" i="7"/>
  <c r="M169" i="7"/>
  <c r="M172" i="7"/>
  <c r="J109" i="7"/>
  <c r="K109" i="7"/>
  <c r="M16" i="7"/>
  <c r="J173" i="2"/>
  <c r="L79" i="7"/>
  <c r="M92" i="7"/>
  <c r="J170" i="7"/>
  <c r="J85" i="7"/>
  <c r="J88" i="7"/>
  <c r="M88" i="7"/>
  <c r="J159" i="7"/>
  <c r="AC76" i="7"/>
  <c r="M163" i="7"/>
  <c r="AD33" i="7"/>
  <c r="J163" i="7"/>
  <c r="O222" i="3"/>
  <c r="AD76" i="7"/>
  <c r="O283" i="3"/>
  <c r="R277" i="3" s="1"/>
  <c r="S277" i="3" s="1"/>
  <c r="L76" i="7"/>
  <c r="M15" i="7"/>
  <c r="L38" i="7"/>
  <c r="AA78" i="7"/>
  <c r="J134" i="7"/>
  <c r="J174" i="7"/>
  <c r="AA46" i="7"/>
  <c r="J160" i="7"/>
  <c r="L27" i="7"/>
  <c r="M38" i="7"/>
  <c r="J74" i="7"/>
  <c r="K161" i="7"/>
  <c r="K104" i="7"/>
  <c r="K38" i="7"/>
  <c r="K78" i="7"/>
  <c r="K162" i="7"/>
  <c r="K35" i="7"/>
  <c r="K16" i="7"/>
  <c r="K158" i="7"/>
  <c r="K139" i="7"/>
  <c r="K112" i="7"/>
  <c r="K107" i="7"/>
  <c r="K90" i="7"/>
  <c r="K77" i="7"/>
  <c r="K86" i="7"/>
  <c r="K47" i="7"/>
  <c r="K45" i="7"/>
  <c r="K30" i="7"/>
  <c r="J169" i="2"/>
  <c r="L14" i="7"/>
  <c r="D344" i="3"/>
  <c r="J344" i="3" s="1"/>
  <c r="K10" i="7"/>
  <c r="K27" i="7"/>
  <c r="J35" i="7"/>
  <c r="J37" i="7"/>
  <c r="K48" i="7"/>
  <c r="K134" i="7"/>
  <c r="O161" i="3"/>
  <c r="R157" i="3" s="1"/>
  <c r="J46" i="7"/>
  <c r="J47" i="7"/>
  <c r="J45" i="7"/>
  <c r="M146" i="7"/>
  <c r="L169" i="7"/>
  <c r="K174" i="7"/>
  <c r="K36" i="7"/>
  <c r="K76" i="7"/>
  <c r="K15" i="7"/>
  <c r="L36" i="7"/>
  <c r="K91" i="7"/>
  <c r="K136" i="7"/>
  <c r="L162" i="7"/>
  <c r="L149" i="7"/>
  <c r="L35" i="7"/>
  <c r="L16" i="7"/>
  <c r="L106" i="7"/>
  <c r="L158" i="7"/>
  <c r="L107" i="7"/>
  <c r="L77" i="7"/>
  <c r="L11" i="7"/>
  <c r="L161" i="7"/>
  <c r="L89" i="7"/>
  <c r="L86" i="7"/>
  <c r="L47" i="7"/>
  <c r="L45" i="7"/>
  <c r="L30" i="7"/>
  <c r="L147" i="7"/>
  <c r="L78" i="7"/>
  <c r="AA47" i="7"/>
  <c r="AA49" i="7"/>
  <c r="K88" i="7"/>
  <c r="L88" i="7"/>
  <c r="K14" i="7"/>
  <c r="L48" i="7"/>
  <c r="L160" i="7"/>
  <c r="L105" i="7"/>
  <c r="K172" i="7"/>
  <c r="AA10" i="7"/>
  <c r="K9" i="7"/>
  <c r="L15" i="7"/>
  <c r="L91" i="7"/>
  <c r="K106" i="7"/>
  <c r="J151" i="7"/>
  <c r="K163" i="7"/>
  <c r="L104" i="7"/>
  <c r="L146" i="7"/>
  <c r="K160" i="7"/>
  <c r="K61" i="7"/>
  <c r="K89" i="7"/>
  <c r="J171" i="2"/>
  <c r="J170" i="2"/>
  <c r="P131" i="3"/>
  <c r="S127" i="3" s="1"/>
  <c r="T127" i="3" s="1"/>
  <c r="L9" i="7"/>
  <c r="K151" i="7"/>
  <c r="L163" i="7"/>
  <c r="K170" i="7"/>
  <c r="D191" i="3"/>
  <c r="G185" i="3" s="1"/>
  <c r="L46" i="7"/>
  <c r="K74" i="7"/>
  <c r="J91" i="7"/>
  <c r="J90" i="7"/>
  <c r="J86" i="7"/>
  <c r="L151" i="7"/>
  <c r="L164" i="7"/>
  <c r="M161" i="7"/>
  <c r="J164" i="7"/>
  <c r="AB37" i="7"/>
  <c r="M60" i="7"/>
  <c r="AA64" i="7"/>
  <c r="M78" i="7"/>
  <c r="J107" i="7"/>
  <c r="J112" i="7"/>
  <c r="M147" i="7"/>
  <c r="J158" i="7"/>
  <c r="K175" i="7"/>
  <c r="K182" i="7"/>
  <c r="AC61" i="7"/>
  <c r="J162" i="7"/>
  <c r="J171" i="7"/>
  <c r="J173" i="7"/>
  <c r="D161" i="3"/>
  <c r="G159" i="3" s="1"/>
  <c r="H159" i="3" s="1"/>
  <c r="AD32" i="7"/>
  <c r="M45" i="7"/>
  <c r="M73" i="7"/>
  <c r="J104" i="7"/>
  <c r="L135" i="7"/>
  <c r="K171" i="7"/>
  <c r="K173" i="7"/>
  <c r="J172" i="2"/>
  <c r="M77" i="7"/>
  <c r="K169" i="7"/>
  <c r="L171" i="7"/>
  <c r="L173" i="7"/>
  <c r="AA21" i="7"/>
  <c r="AC22" i="7"/>
  <c r="AA22" i="7"/>
  <c r="K190" i="7"/>
  <c r="M149" i="7"/>
  <c r="L120" i="7"/>
  <c r="L126" i="7"/>
  <c r="M125" i="7"/>
  <c r="M124" i="7"/>
  <c r="M120" i="7"/>
  <c r="L125" i="7"/>
  <c r="K122" i="7"/>
  <c r="L122" i="7"/>
  <c r="M122" i="7"/>
  <c r="L140" i="7"/>
  <c r="K63" i="7"/>
  <c r="K60" i="7"/>
  <c r="L63" i="7"/>
  <c r="L62" i="7"/>
  <c r="J63" i="7"/>
  <c r="L60" i="7"/>
  <c r="M63" i="7"/>
  <c r="J60" i="7"/>
  <c r="J51" i="7"/>
  <c r="L52" i="7"/>
  <c r="L53" i="7"/>
  <c r="J53" i="7"/>
  <c r="AB34" i="7"/>
  <c r="J191" i="7"/>
  <c r="AB20" i="7"/>
  <c r="AD22" i="7"/>
  <c r="AD31" i="7"/>
  <c r="AB36" i="7"/>
  <c r="AB46" i="7"/>
  <c r="AC67" i="7"/>
  <c r="K191" i="7"/>
  <c r="AB63" i="7"/>
  <c r="AB53" i="7"/>
  <c r="AB48" i="7"/>
  <c r="AB35" i="7"/>
  <c r="AB31" i="7"/>
  <c r="AB62" i="7"/>
  <c r="AB77" i="7"/>
  <c r="AB67" i="7"/>
  <c r="AB61" i="7"/>
  <c r="AB52" i="7"/>
  <c r="AB51" i="7"/>
  <c r="AB32" i="7"/>
  <c r="AB78" i="7"/>
  <c r="AB49" i="7"/>
  <c r="AB9" i="7"/>
  <c r="AB66" i="7"/>
  <c r="AB10" i="7"/>
  <c r="AB21" i="7"/>
  <c r="AB64" i="7"/>
  <c r="L182" i="7"/>
  <c r="J184" i="7"/>
  <c r="L189" i="7"/>
  <c r="L183" i="7"/>
  <c r="K192" i="7"/>
  <c r="J192" i="7"/>
  <c r="K183" i="7"/>
  <c r="AB47" i="7"/>
  <c r="AC51" i="7"/>
  <c r="AD64" i="7"/>
  <c r="M191" i="7"/>
  <c r="AD50" i="7"/>
  <c r="AC52" i="7"/>
  <c r="J61" i="7"/>
  <c r="J65" i="7"/>
  <c r="J59" i="7"/>
  <c r="J64" i="7"/>
  <c r="L61" i="7"/>
  <c r="M151" i="7"/>
  <c r="M174" i="7"/>
  <c r="M184" i="7"/>
  <c r="AC37" i="7"/>
  <c r="AC75" i="7"/>
  <c r="AD51" i="7"/>
  <c r="AC20" i="7"/>
  <c r="AA36" i="7"/>
  <c r="AA33" i="7"/>
  <c r="AA35" i="7"/>
  <c r="AA31" i="7"/>
  <c r="AA34" i="7"/>
  <c r="AA32" i="7"/>
  <c r="J183" i="7"/>
  <c r="AD9" i="7"/>
  <c r="AD20" i="7"/>
  <c r="AD46" i="7"/>
  <c r="AB50" i="7"/>
  <c r="M189" i="7"/>
  <c r="AA61" i="7"/>
  <c r="J62" i="7"/>
  <c r="K64" i="7"/>
  <c r="AB65" i="7"/>
  <c r="M75" i="7"/>
  <c r="AC63" i="7"/>
  <c r="AC48" i="7"/>
  <c r="AC35" i="7"/>
  <c r="AC31" i="7"/>
  <c r="AC62" i="7"/>
  <c r="AC34" i="7"/>
  <c r="AC9" i="7"/>
  <c r="AC21" i="7"/>
  <c r="AC36" i="7"/>
  <c r="AC66" i="7"/>
  <c r="AC10" i="7"/>
  <c r="AC78" i="7"/>
  <c r="AC49" i="7"/>
  <c r="AD67" i="7"/>
  <c r="AD61" i="7"/>
  <c r="AD52" i="7"/>
  <c r="AD62" i="7"/>
  <c r="AD34" i="7"/>
  <c r="AD47" i="7"/>
  <c r="AD21" i="7"/>
  <c r="AD66" i="7"/>
  <c r="AD53" i="7"/>
  <c r="AD10" i="7"/>
  <c r="AD75" i="7"/>
  <c r="AD63" i="7"/>
  <c r="AD78" i="7"/>
  <c r="AD35" i="7"/>
  <c r="AD49" i="7"/>
  <c r="AD36" i="7"/>
  <c r="AD37" i="7"/>
  <c r="AC64" i="7"/>
  <c r="AB75" i="7"/>
  <c r="AB22" i="7"/>
  <c r="J182" i="7"/>
  <c r="AC47" i="7"/>
  <c r="AC46" i="7"/>
  <c r="L191" i="7"/>
  <c r="AC32" i="7"/>
  <c r="AC50" i="7"/>
  <c r="L184" i="7"/>
  <c r="M164" i="7"/>
  <c r="M159" i="7"/>
  <c r="M145" i="7"/>
  <c r="M138" i="7"/>
  <c r="M103" i="7"/>
  <c r="M51" i="7"/>
  <c r="M126" i="7"/>
  <c r="M121" i="7"/>
  <c r="M76" i="7"/>
  <c r="M175" i="7"/>
  <c r="M150" i="7"/>
  <c r="M123" i="7"/>
  <c r="M108" i="7"/>
  <c r="M85" i="7"/>
  <c r="M37" i="7"/>
  <c r="M10" i="7"/>
  <c r="M162" i="7"/>
  <c r="M148" i="7"/>
  <c r="M182" i="7"/>
  <c r="M136" i="7"/>
  <c r="M112" i="7"/>
  <c r="M90" i="7"/>
  <c r="M14" i="7"/>
  <c r="M106" i="7"/>
  <c r="M64" i="7"/>
  <c r="M36" i="7"/>
  <c r="M192" i="7"/>
  <c r="M135" i="7"/>
  <c r="M119" i="7"/>
  <c r="M65" i="7"/>
  <c r="M30" i="7"/>
  <c r="M74" i="7"/>
  <c r="M139" i="7"/>
  <c r="M53" i="7"/>
  <c r="M107" i="7"/>
  <c r="M86" i="7"/>
  <c r="M52" i="7"/>
  <c r="M158" i="7"/>
  <c r="M110" i="7"/>
  <c r="M87" i="7"/>
  <c r="M48" i="7"/>
  <c r="M47" i="7"/>
  <c r="M46" i="7"/>
  <c r="M190" i="7"/>
  <c r="M183" i="7"/>
  <c r="M59" i="7"/>
  <c r="M134" i="7"/>
  <c r="M61" i="7"/>
  <c r="M160" i="7"/>
  <c r="M137" i="7"/>
  <c r="M89" i="7"/>
  <c r="M9" i="7"/>
  <c r="M105" i="7"/>
  <c r="M91" i="7"/>
  <c r="M35" i="7"/>
  <c r="M11" i="7"/>
  <c r="M79" i="7"/>
  <c r="M62" i="7"/>
  <c r="AB33" i="7"/>
  <c r="AA37" i="7"/>
  <c r="AA50" i="7"/>
  <c r="AA52" i="7"/>
  <c r="AA51" i="7"/>
  <c r="K62" i="7"/>
  <c r="L64" i="7"/>
  <c r="AC65" i="7"/>
  <c r="AB76" i="7"/>
  <c r="J140" i="7"/>
  <c r="J135" i="7"/>
  <c r="J138" i="7"/>
  <c r="K140" i="7"/>
  <c r="J137" i="7"/>
  <c r="K135" i="7"/>
  <c r="K137" i="7"/>
  <c r="K150" i="7"/>
  <c r="J147" i="7"/>
  <c r="J145" i="7"/>
  <c r="L148" i="7"/>
  <c r="K146" i="7"/>
  <c r="K148" i="7"/>
  <c r="J146" i="7"/>
  <c r="J148" i="7"/>
  <c r="J150" i="7"/>
  <c r="K149" i="7"/>
  <c r="J190" i="7"/>
  <c r="L192" i="7"/>
  <c r="L134" i="7"/>
  <c r="L139" i="7"/>
  <c r="J121" i="7"/>
  <c r="AC77" i="7"/>
  <c r="J119" i="7"/>
  <c r="AA62" i="7"/>
  <c r="AD77" i="7"/>
  <c r="J89" i="7"/>
  <c r="J92" i="7"/>
  <c r="L90" i="7"/>
  <c r="J87" i="7"/>
  <c r="K85" i="7"/>
  <c r="L110" i="7"/>
  <c r="K119" i="7"/>
  <c r="L121" i="7"/>
  <c r="J124" i="7"/>
  <c r="J126" i="7"/>
  <c r="L170" i="7"/>
  <c r="J123" i="7"/>
  <c r="L190" i="7"/>
  <c r="AA53" i="7"/>
  <c r="M173" i="7"/>
  <c r="AA66" i="7"/>
  <c r="K121" i="7"/>
  <c r="L137" i="7"/>
  <c r="AA9" i="7"/>
  <c r="J38" i="7"/>
  <c r="K37" i="7"/>
  <c r="AC53" i="7"/>
  <c r="L65" i="7"/>
  <c r="J77" i="7"/>
  <c r="J75" i="7"/>
  <c r="J79" i="7"/>
  <c r="J73" i="7"/>
  <c r="K75" i="7"/>
  <c r="L119" i="7"/>
  <c r="K124" i="7"/>
  <c r="K126" i="7"/>
  <c r="M170" i="7"/>
  <c r="AA63" i="7"/>
  <c r="AA67" i="7"/>
  <c r="J120" i="7"/>
  <c r="J125" i="7"/>
  <c r="L136" i="7"/>
  <c r="K123" i="7"/>
  <c r="K108" i="7"/>
  <c r="J110" i="7"/>
  <c r="J105" i="7"/>
  <c r="J103" i="7"/>
  <c r="L112" i="7"/>
  <c r="J189" i="7"/>
  <c r="K189" i="7"/>
  <c r="AA77" i="7"/>
  <c r="J106" i="7"/>
  <c r="J122" i="7"/>
  <c r="L124" i="7"/>
  <c r="J169" i="7"/>
  <c r="L172" i="7"/>
  <c r="L10" i="7"/>
  <c r="L37" i="7"/>
  <c r="AA48" i="7"/>
  <c r="K51" i="7"/>
  <c r="L85" i="7"/>
  <c r="K103" i="7"/>
  <c r="L108" i="7"/>
  <c r="L123" i="7"/>
  <c r="K138" i="7"/>
  <c r="K145" i="7"/>
  <c r="L150" i="7"/>
  <c r="K159" i="7"/>
  <c r="K164" i="7"/>
  <c r="L175" i="7"/>
  <c r="L51" i="7"/>
  <c r="K59" i="7"/>
  <c r="K65" i="7"/>
  <c r="K73" i="7"/>
  <c r="K87" i="7"/>
  <c r="L103" i="7"/>
  <c r="K125" i="7"/>
  <c r="L138" i="7"/>
  <c r="L145" i="7"/>
  <c r="L159" i="7"/>
  <c r="K184" i="7"/>
  <c r="K11" i="7"/>
  <c r="K46" i="7"/>
  <c r="K52" i="7"/>
  <c r="L59" i="7"/>
  <c r="L73" i="7"/>
  <c r="K79" i="7"/>
  <c r="L87" i="7"/>
  <c r="K92" i="7"/>
  <c r="K105" i="7"/>
  <c r="K110" i="7"/>
  <c r="K120" i="7"/>
  <c r="K147" i="7"/>
  <c r="O344" i="3"/>
  <c r="U344" i="3" s="1"/>
  <c r="D374" i="3"/>
  <c r="O314" i="3"/>
  <c r="R335" i="3" s="1"/>
  <c r="U335" i="3" s="1"/>
  <c r="D314" i="3"/>
  <c r="G307" i="3" s="1"/>
  <c r="D283" i="3"/>
  <c r="J283" i="3" s="1"/>
  <c r="O253" i="3"/>
  <c r="J247" i="3"/>
  <c r="J248" i="3"/>
  <c r="J249" i="3"/>
  <c r="J250" i="3"/>
  <c r="AJ176" i="3"/>
  <c r="D222" i="3"/>
  <c r="G213" i="3" s="1"/>
  <c r="J213" i="3" s="1"/>
  <c r="O191" i="3"/>
  <c r="R188" i="3" s="1"/>
  <c r="P101" i="3"/>
  <c r="S93" i="3" s="1"/>
  <c r="V106" i="3"/>
  <c r="K54" i="3"/>
  <c r="D129" i="3"/>
  <c r="J129" i="3" s="1"/>
  <c r="D101" i="3"/>
  <c r="K96" i="3" s="1"/>
  <c r="D75" i="3"/>
  <c r="G72" i="3" s="1"/>
  <c r="P31" i="3"/>
  <c r="V28" i="3" s="1"/>
  <c r="S8" i="3"/>
  <c r="S11" i="3" s="1"/>
  <c r="V8" i="3"/>
  <c r="P14" i="3" s="1"/>
  <c r="V13" i="3" s="1"/>
  <c r="P75" i="3"/>
  <c r="K28" i="3"/>
  <c r="C35" i="3" s="1"/>
  <c r="C36" i="3" s="1"/>
  <c r="C37" i="3" s="1"/>
  <c r="C38" i="3" s="1"/>
  <c r="K34" i="3"/>
  <c r="P51" i="3"/>
  <c r="V48" i="3" s="1"/>
  <c r="D51" i="3"/>
  <c r="K48" i="3" s="1"/>
  <c r="G28" i="3"/>
  <c r="K14" i="3"/>
  <c r="D11" i="3"/>
  <c r="J175" i="2"/>
  <c r="J163" i="2"/>
  <c r="J161" i="2"/>
  <c r="J159" i="2"/>
  <c r="J164" i="2"/>
  <c r="J162" i="2"/>
  <c r="J160" i="2"/>
  <c r="E130" i="2"/>
  <c r="E179" i="2"/>
  <c r="C8" i="2"/>
  <c r="J9" i="2"/>
  <c r="Y77" i="2"/>
  <c r="X78" i="2"/>
  <c r="X67" i="2"/>
  <c r="X53" i="2"/>
  <c r="X37" i="2"/>
  <c r="X22" i="2"/>
  <c r="X77" i="2"/>
  <c r="AG9" i="2"/>
  <c r="G79" i="2"/>
  <c r="G65" i="2"/>
  <c r="G53" i="2"/>
  <c r="G92" i="2"/>
  <c r="G110" i="2"/>
  <c r="G126" i="2"/>
  <c r="G140" i="2"/>
  <c r="G151" i="2"/>
  <c r="G184" i="2"/>
  <c r="G191" i="2"/>
  <c r="G192" i="2"/>
  <c r="A5" i="2"/>
  <c r="AR6" i="1"/>
  <c r="P6" i="1" s="1"/>
  <c r="AG22" i="7" s="1"/>
  <c r="BG5" i="1"/>
  <c r="AG77" i="7" s="1"/>
  <c r="AR4" i="1"/>
  <c r="AO4" i="1" s="1"/>
  <c r="B169" i="7" s="1"/>
  <c r="M4" i="1"/>
  <c r="B35" i="7" s="1"/>
  <c r="C4" i="1"/>
  <c r="H191" i="2"/>
  <c r="F191" i="2"/>
  <c r="E191" i="2"/>
  <c r="G244" i="3" l="1"/>
  <c r="H244" i="3" s="1"/>
  <c r="G246" i="3"/>
  <c r="J246" i="3" s="1"/>
  <c r="G245" i="3"/>
  <c r="J245" i="3" s="1"/>
  <c r="P4" i="1"/>
  <c r="AG21" i="7" s="1"/>
  <c r="R274" i="3"/>
  <c r="S274" i="3" s="1"/>
  <c r="G335" i="3"/>
  <c r="J335" i="3" s="1"/>
  <c r="G93" i="3"/>
  <c r="H93" i="3" s="1"/>
  <c r="O109" i="7"/>
  <c r="AG22" i="2"/>
  <c r="O27" i="7"/>
  <c r="R337" i="3"/>
  <c r="S337" i="3" s="1"/>
  <c r="O78" i="7"/>
  <c r="O48" i="7"/>
  <c r="O35" i="7"/>
  <c r="P35" i="7" s="1"/>
  <c r="R158" i="3"/>
  <c r="U158" i="3" s="1"/>
  <c r="AF75" i="7"/>
  <c r="U277" i="3"/>
  <c r="O46" i="7"/>
  <c r="R276" i="3"/>
  <c r="U276" i="3" s="1"/>
  <c r="AF64" i="7"/>
  <c r="O16" i="7"/>
  <c r="O90" i="7"/>
  <c r="G184" i="3"/>
  <c r="H184" i="3" s="1"/>
  <c r="R275" i="3"/>
  <c r="S275" i="3" s="1"/>
  <c r="U283" i="3"/>
  <c r="N286" i="3" s="1"/>
  <c r="N287" i="3" s="1"/>
  <c r="N288" i="3" s="1"/>
  <c r="N289" i="3" s="1"/>
  <c r="G183" i="3"/>
  <c r="J183" i="3" s="1"/>
  <c r="AF35" i="7"/>
  <c r="O15" i="7"/>
  <c r="O172" i="7"/>
  <c r="O163" i="7"/>
  <c r="AF49" i="7"/>
  <c r="AY7" i="1"/>
  <c r="AX11" i="1" s="1"/>
  <c r="R336" i="3"/>
  <c r="S336" i="3" s="1"/>
  <c r="O9" i="7"/>
  <c r="O36" i="7"/>
  <c r="O160" i="7"/>
  <c r="O89" i="7"/>
  <c r="O146" i="7"/>
  <c r="O139" i="7"/>
  <c r="O76" i="7"/>
  <c r="AG77" i="2"/>
  <c r="G95" i="3"/>
  <c r="H95" i="3" s="1"/>
  <c r="AF62" i="7"/>
  <c r="O162" i="7"/>
  <c r="G274" i="3"/>
  <c r="J274" i="3" s="1"/>
  <c r="AF36" i="7"/>
  <c r="O53" i="7"/>
  <c r="O175" i="7"/>
  <c r="P175" i="7" s="1"/>
  <c r="O173" i="7"/>
  <c r="O122" i="7"/>
  <c r="O77" i="7"/>
  <c r="O135" i="7"/>
  <c r="O112" i="7"/>
  <c r="G94" i="3"/>
  <c r="H94" i="3" s="1"/>
  <c r="O108" i="7"/>
  <c r="AF67" i="7"/>
  <c r="O126" i="7"/>
  <c r="O119" i="7"/>
  <c r="AF76" i="7"/>
  <c r="O30" i="7"/>
  <c r="O88" i="7"/>
  <c r="O37" i="7"/>
  <c r="O151" i="7"/>
  <c r="S122" i="3"/>
  <c r="T122" i="3" s="1"/>
  <c r="S126" i="3"/>
  <c r="T126" i="3" s="1"/>
  <c r="O85" i="7"/>
  <c r="H185" i="3"/>
  <c r="J185" i="3"/>
  <c r="J307" i="3"/>
  <c r="H307" i="3"/>
  <c r="S188" i="3"/>
  <c r="U188" i="3"/>
  <c r="O120" i="7"/>
  <c r="O47" i="7"/>
  <c r="O38" i="7"/>
  <c r="AF46" i="7"/>
  <c r="G336" i="3"/>
  <c r="O136" i="7"/>
  <c r="J374" i="3"/>
  <c r="C377" i="3" s="1"/>
  <c r="C378" i="3" s="1"/>
  <c r="C379" i="3" s="1"/>
  <c r="C380" i="3" s="1"/>
  <c r="G365" i="3"/>
  <c r="G374" i="3" s="1"/>
  <c r="S98" i="3"/>
  <c r="T98" i="3" s="1"/>
  <c r="AF9" i="7"/>
  <c r="AH9" i="7" s="1"/>
  <c r="R183" i="3"/>
  <c r="U191" i="3"/>
  <c r="N194" i="3" s="1"/>
  <c r="R187" i="3"/>
  <c r="R186" i="3"/>
  <c r="O170" i="7"/>
  <c r="O74" i="7"/>
  <c r="U157" i="3"/>
  <c r="S157" i="3"/>
  <c r="B35" i="2"/>
  <c r="AF48" i="7"/>
  <c r="O134" i="7"/>
  <c r="AF78" i="7"/>
  <c r="O60" i="7"/>
  <c r="S128" i="3"/>
  <c r="S123" i="3"/>
  <c r="T123" i="3" s="1"/>
  <c r="S124" i="3"/>
  <c r="S125" i="3"/>
  <c r="G275" i="3"/>
  <c r="R152" i="3"/>
  <c r="R153" i="3"/>
  <c r="U161" i="3"/>
  <c r="N164" i="3" s="1"/>
  <c r="N165" i="3" s="1"/>
  <c r="N166" i="3" s="1"/>
  <c r="N167" i="3" s="1"/>
  <c r="R155" i="3"/>
  <c r="R156" i="3"/>
  <c r="R185" i="3"/>
  <c r="G276" i="3"/>
  <c r="B169" i="2"/>
  <c r="G188" i="3"/>
  <c r="G182" i="3"/>
  <c r="G186" i="3"/>
  <c r="G187" i="3"/>
  <c r="O105" i="7"/>
  <c r="O158" i="7"/>
  <c r="R182" i="3"/>
  <c r="O124" i="7"/>
  <c r="J191" i="3"/>
  <c r="C194" i="3" s="1"/>
  <c r="C195" i="3" s="1"/>
  <c r="C196" i="3" s="1"/>
  <c r="C197" i="3" s="1"/>
  <c r="O164" i="7"/>
  <c r="O10" i="7"/>
  <c r="AF21" i="7"/>
  <c r="J222" i="3"/>
  <c r="D224" i="3" s="1"/>
  <c r="J227" i="3" s="1"/>
  <c r="G219" i="3"/>
  <c r="G218" i="3"/>
  <c r="G217" i="3"/>
  <c r="G214" i="3"/>
  <c r="G216" i="3"/>
  <c r="G215" i="3"/>
  <c r="J314" i="3"/>
  <c r="C317" i="3" s="1"/>
  <c r="C318" i="3" s="1"/>
  <c r="C319" i="3" s="1"/>
  <c r="C320" i="3" s="1"/>
  <c r="G306" i="3"/>
  <c r="G305" i="3"/>
  <c r="J305" i="3" s="1"/>
  <c r="O149" i="7"/>
  <c r="AF37" i="7"/>
  <c r="O86" i="7"/>
  <c r="AF65" i="7"/>
  <c r="O174" i="7"/>
  <c r="O104" i="7"/>
  <c r="S129" i="3"/>
  <c r="R154" i="3"/>
  <c r="O91" i="7"/>
  <c r="AM4" i="1"/>
  <c r="G73" i="3"/>
  <c r="AM167" i="3"/>
  <c r="AM176" i="3" s="1"/>
  <c r="AP176" i="3"/>
  <c r="AJ178" i="3" s="1"/>
  <c r="U314" i="3"/>
  <c r="N317" i="3" s="1"/>
  <c r="N318" i="3" s="1"/>
  <c r="N319" i="3" s="1"/>
  <c r="N320" i="3" s="1"/>
  <c r="R305" i="3"/>
  <c r="O169" i="7"/>
  <c r="P169" i="7" s="1"/>
  <c r="O107" i="7"/>
  <c r="O14" i="7"/>
  <c r="AF31" i="7"/>
  <c r="AF47" i="7"/>
  <c r="O171" i="7"/>
  <c r="O161" i="7"/>
  <c r="R184" i="3"/>
  <c r="O45" i="7"/>
  <c r="AF22" i="7"/>
  <c r="AH22" i="7" s="1"/>
  <c r="AF20" i="7"/>
  <c r="O192" i="7"/>
  <c r="O191" i="7"/>
  <c r="O150" i="7"/>
  <c r="O145" i="7"/>
  <c r="O148" i="7"/>
  <c r="O137" i="7"/>
  <c r="O63" i="7"/>
  <c r="O52" i="7"/>
  <c r="O51" i="7"/>
  <c r="O125" i="7"/>
  <c r="O138" i="7"/>
  <c r="O184" i="7"/>
  <c r="O110" i="7"/>
  <c r="AF66" i="7"/>
  <c r="O62" i="7"/>
  <c r="O183" i="7"/>
  <c r="O59" i="7"/>
  <c r="AF33" i="7"/>
  <c r="AF63" i="7"/>
  <c r="O147" i="7"/>
  <c r="O159" i="7"/>
  <c r="O73" i="7"/>
  <c r="O87" i="7"/>
  <c r="AF51" i="7"/>
  <c r="AF61" i="7"/>
  <c r="O65" i="7"/>
  <c r="AF10" i="7"/>
  <c r="O106" i="7"/>
  <c r="O123" i="7"/>
  <c r="O189" i="7"/>
  <c r="O121" i="7"/>
  <c r="O11" i="7"/>
  <c r="O64" i="7"/>
  <c r="O79" i="7"/>
  <c r="AF53" i="7"/>
  <c r="O190" i="7"/>
  <c r="AF52" i="7"/>
  <c r="O182" i="7"/>
  <c r="AF32" i="7"/>
  <c r="O61" i="7"/>
  <c r="O140" i="7"/>
  <c r="O103" i="7"/>
  <c r="O75" i="7"/>
  <c r="O92" i="7"/>
  <c r="AF50" i="7"/>
  <c r="AF34" i="7"/>
  <c r="U253" i="3"/>
  <c r="N256" i="3" s="1"/>
  <c r="N257" i="3" s="1"/>
  <c r="N258" i="3" s="1"/>
  <c r="N259" i="3" s="1"/>
  <c r="R245" i="3"/>
  <c r="R246" i="3"/>
  <c r="R244" i="3"/>
  <c r="S244" i="3" s="1"/>
  <c r="S335" i="3"/>
  <c r="N347" i="3"/>
  <c r="N348" i="3" s="1"/>
  <c r="N349" i="3" s="1"/>
  <c r="N350" i="3" s="1"/>
  <c r="O346" i="3"/>
  <c r="U349" i="3" s="1"/>
  <c r="R307" i="3"/>
  <c r="R306" i="3"/>
  <c r="H335" i="3"/>
  <c r="C347" i="3"/>
  <c r="C348" i="3" s="1"/>
  <c r="C349" i="3" s="1"/>
  <c r="C350" i="3" s="1"/>
  <c r="D346" i="3"/>
  <c r="J349" i="3" s="1"/>
  <c r="C286" i="3"/>
  <c r="C287" i="3" s="1"/>
  <c r="C288" i="3" s="1"/>
  <c r="C289" i="3" s="1"/>
  <c r="D285" i="3"/>
  <c r="C256" i="3"/>
  <c r="C257" i="3" s="1"/>
  <c r="C258" i="3" s="1"/>
  <c r="C259" i="3" s="1"/>
  <c r="D255" i="3"/>
  <c r="J258" i="3" s="1"/>
  <c r="U222" i="3"/>
  <c r="N225" i="3" s="1"/>
  <c r="N226" i="3" s="1"/>
  <c r="N227" i="3" s="1"/>
  <c r="N228" i="3" s="1"/>
  <c r="R214" i="3"/>
  <c r="R215" i="3"/>
  <c r="R216" i="3"/>
  <c r="R217" i="3"/>
  <c r="R219" i="3"/>
  <c r="R213" i="3"/>
  <c r="S213" i="3" s="1"/>
  <c r="H213" i="3"/>
  <c r="G155" i="3"/>
  <c r="G153" i="3"/>
  <c r="H153" i="3" s="1"/>
  <c r="G156" i="3"/>
  <c r="H156" i="3" s="1"/>
  <c r="G157" i="3"/>
  <c r="G158" i="3"/>
  <c r="G152" i="3"/>
  <c r="J152" i="3" s="1"/>
  <c r="G154" i="3"/>
  <c r="J161" i="3"/>
  <c r="U131" i="3"/>
  <c r="U127" i="3"/>
  <c r="G122" i="3"/>
  <c r="S97" i="3"/>
  <c r="T97" i="3" s="1"/>
  <c r="S96" i="3"/>
  <c r="T96" i="3" s="1"/>
  <c r="S99" i="3"/>
  <c r="T99" i="3" s="1"/>
  <c r="D34" i="3"/>
  <c r="K33" i="3" s="1"/>
  <c r="S95" i="3"/>
  <c r="T95" i="3" s="1"/>
  <c r="W96" i="3"/>
  <c r="O105" i="3" s="1"/>
  <c r="O106" i="3" s="1"/>
  <c r="O107" i="3" s="1"/>
  <c r="O108" i="3" s="1"/>
  <c r="S94" i="3"/>
  <c r="T94" i="3" s="1"/>
  <c r="G71" i="3"/>
  <c r="T93" i="3"/>
  <c r="G99" i="3"/>
  <c r="G97" i="3"/>
  <c r="G127" i="3"/>
  <c r="G125" i="3"/>
  <c r="G121" i="3"/>
  <c r="G123" i="3"/>
  <c r="G98" i="3"/>
  <c r="G96" i="3"/>
  <c r="I96" i="3" s="1"/>
  <c r="G124" i="3"/>
  <c r="G126" i="3"/>
  <c r="K70" i="3"/>
  <c r="G70" i="3"/>
  <c r="V70" i="3"/>
  <c r="P78" i="3" s="1"/>
  <c r="V77" i="3" s="1"/>
  <c r="S70" i="3"/>
  <c r="P34" i="3"/>
  <c r="V33" i="3" s="1"/>
  <c r="O35" i="3"/>
  <c r="O36" i="3" s="1"/>
  <c r="O37" i="3" s="1"/>
  <c r="O38" i="3" s="1"/>
  <c r="S28" i="3"/>
  <c r="O15" i="3"/>
  <c r="O16" i="3" s="1"/>
  <c r="O17" i="3" s="1"/>
  <c r="O18" i="3" s="1"/>
  <c r="R11" i="3"/>
  <c r="Q11" i="3"/>
  <c r="K8" i="3"/>
  <c r="D14" i="3" s="1"/>
  <c r="K13" i="3" s="1"/>
  <c r="G9" i="3"/>
  <c r="G8" i="3"/>
  <c r="S48" i="3"/>
  <c r="Q51" i="3" s="1"/>
  <c r="P54" i="3"/>
  <c r="V53" i="3" s="1"/>
  <c r="O55" i="3"/>
  <c r="O56" i="3" s="1"/>
  <c r="O57" i="3" s="1"/>
  <c r="O58" i="3" s="1"/>
  <c r="D54" i="3"/>
  <c r="K53" i="3" s="1"/>
  <c r="C55" i="3"/>
  <c r="C56" i="3" s="1"/>
  <c r="C57" i="3" s="1"/>
  <c r="C58" i="3" s="1"/>
  <c r="G48" i="3"/>
  <c r="E51" i="3" s="1"/>
  <c r="F31" i="3"/>
  <c r="G31" i="3"/>
  <c r="E31" i="3"/>
  <c r="W76" i="2"/>
  <c r="X76" i="2"/>
  <c r="Y76" i="2"/>
  <c r="W75" i="2"/>
  <c r="X75" i="2"/>
  <c r="Y75" i="2"/>
  <c r="V76" i="2"/>
  <c r="V75" i="2"/>
  <c r="V72" i="2"/>
  <c r="V71" i="2"/>
  <c r="F190" i="2"/>
  <c r="G190" i="2"/>
  <c r="H190" i="2"/>
  <c r="H189" i="2"/>
  <c r="G189" i="2"/>
  <c r="F189" i="2"/>
  <c r="E190" i="2"/>
  <c r="E189" i="2"/>
  <c r="C187" i="2"/>
  <c r="C180" i="2"/>
  <c r="J192" i="2" s="1"/>
  <c r="C26" i="2"/>
  <c r="J27" i="2" s="1"/>
  <c r="E100" i="2"/>
  <c r="E70" i="2"/>
  <c r="E43" i="2"/>
  <c r="E24" i="2"/>
  <c r="V58" i="2"/>
  <c r="V57" i="2"/>
  <c r="C143" i="2"/>
  <c r="J151" i="2" s="1"/>
  <c r="C132" i="2"/>
  <c r="J140" i="2" s="1"/>
  <c r="C111" i="2"/>
  <c r="C116" i="2"/>
  <c r="C101" i="2"/>
  <c r="Y45" i="2"/>
  <c r="X45" i="2"/>
  <c r="W45" i="2"/>
  <c r="V42" i="2"/>
  <c r="V41" i="2"/>
  <c r="C83" i="2"/>
  <c r="J92" i="2" s="1"/>
  <c r="C72" i="2"/>
  <c r="J79" i="2" s="1"/>
  <c r="Y30" i="2"/>
  <c r="X30" i="2"/>
  <c r="W30" i="2"/>
  <c r="V27" i="2"/>
  <c r="V26" i="2"/>
  <c r="C58" i="2"/>
  <c r="J65" i="2" s="1"/>
  <c r="C50" i="2"/>
  <c r="J53" i="2" s="1"/>
  <c r="C44" i="2"/>
  <c r="Y19" i="2"/>
  <c r="X19" i="2"/>
  <c r="W19" i="2"/>
  <c r="V16" i="2"/>
  <c r="C34" i="2"/>
  <c r="C29" i="2"/>
  <c r="J30" i="2" s="1"/>
  <c r="Y8" i="2"/>
  <c r="X8" i="2"/>
  <c r="W8" i="2"/>
  <c r="V5" i="2"/>
  <c r="V4" i="2"/>
  <c r="J11" i="2"/>
  <c r="J14" i="2"/>
  <c r="J16" i="2"/>
  <c r="J15" i="2"/>
  <c r="F15" i="2"/>
  <c r="G15" i="2"/>
  <c r="H15" i="2"/>
  <c r="G8" i="2"/>
  <c r="J10" i="2"/>
  <c r="H8" i="2"/>
  <c r="F8" i="2"/>
  <c r="C5" i="2"/>
  <c r="D5" i="2" s="1"/>
  <c r="B5" i="2"/>
  <c r="BB6" i="1"/>
  <c r="AT6" i="1" s="1"/>
  <c r="AW6" i="1" s="1"/>
  <c r="AO10" i="1"/>
  <c r="AJ11" i="1"/>
  <c r="AH11" i="1"/>
  <c r="S7" i="1"/>
  <c r="C2" i="1"/>
  <c r="C5" i="1" s="1"/>
  <c r="AA2" i="1"/>
  <c r="M2" i="1"/>
  <c r="BB2" i="1"/>
  <c r="BB4" i="1" s="1"/>
  <c r="J244" i="3" l="1"/>
  <c r="F253" i="3" s="1"/>
  <c r="H246" i="3"/>
  <c r="P2" i="1"/>
  <c r="G253" i="3"/>
  <c r="H245" i="3"/>
  <c r="U274" i="3"/>
  <c r="G344" i="3"/>
  <c r="B191" i="7"/>
  <c r="U77" i="7" s="1"/>
  <c r="AF77" i="7" s="1"/>
  <c r="AH77" i="7" s="1"/>
  <c r="AH21" i="7"/>
  <c r="AG21" i="2"/>
  <c r="I93" i="3"/>
  <c r="AW4" i="1"/>
  <c r="AT4" i="1" s="1"/>
  <c r="U275" i="3"/>
  <c r="AI179" i="3"/>
  <c r="AI180" i="3" s="1"/>
  <c r="AI181" i="3" s="1"/>
  <c r="AI182" i="3" s="1"/>
  <c r="J184" i="3"/>
  <c r="S158" i="3"/>
  <c r="U337" i="3"/>
  <c r="R283" i="3"/>
  <c r="O224" i="3"/>
  <c r="U227" i="3" s="1"/>
  <c r="B191" i="2"/>
  <c r="U77" i="2" s="1"/>
  <c r="S276" i="3"/>
  <c r="P283" i="3" s="1"/>
  <c r="H274" i="3"/>
  <c r="O285" i="3"/>
  <c r="U288" i="3" s="1"/>
  <c r="I95" i="3"/>
  <c r="D316" i="3"/>
  <c r="J319" i="3" s="1"/>
  <c r="AD61" i="2"/>
  <c r="C225" i="3"/>
  <c r="C226" i="3" s="1"/>
  <c r="C227" i="3" s="1"/>
  <c r="C228" i="3" s="1"/>
  <c r="G314" i="3"/>
  <c r="I94" i="3"/>
  <c r="P344" i="3"/>
  <c r="R349" i="3" s="1"/>
  <c r="U353" i="3" s="1"/>
  <c r="R344" i="3"/>
  <c r="U126" i="3"/>
  <c r="H305" i="3"/>
  <c r="H183" i="3"/>
  <c r="U336" i="3"/>
  <c r="O316" i="3"/>
  <c r="U319" i="3" s="1"/>
  <c r="U213" i="3"/>
  <c r="P104" i="3"/>
  <c r="V105" i="3" s="1"/>
  <c r="U122" i="3"/>
  <c r="G75" i="3"/>
  <c r="U123" i="3"/>
  <c r="R314" i="3"/>
  <c r="H97" i="3"/>
  <c r="I97" i="3"/>
  <c r="S152" i="3"/>
  <c r="U152" i="3"/>
  <c r="S187" i="3"/>
  <c r="U187" i="3"/>
  <c r="B45" i="7"/>
  <c r="P45" i="7" s="1"/>
  <c r="B45" i="2"/>
  <c r="O79" i="3"/>
  <c r="O80" i="3" s="1"/>
  <c r="O81" i="3" s="1"/>
  <c r="O82" i="3" s="1"/>
  <c r="J124" i="3"/>
  <c r="H124" i="3"/>
  <c r="I124" i="3"/>
  <c r="J275" i="3"/>
  <c r="H275" i="3"/>
  <c r="H217" i="3"/>
  <c r="J217" i="3"/>
  <c r="J126" i="3"/>
  <c r="I126" i="3"/>
  <c r="H126" i="3"/>
  <c r="B158" i="7"/>
  <c r="P158" i="7" s="1"/>
  <c r="B158" i="2"/>
  <c r="J218" i="3"/>
  <c r="H218" i="3"/>
  <c r="T125" i="3"/>
  <c r="U125" i="3"/>
  <c r="R222" i="3"/>
  <c r="J123" i="3"/>
  <c r="H123" i="3"/>
  <c r="I123" i="3"/>
  <c r="D193" i="3"/>
  <c r="J196" i="3" s="1"/>
  <c r="R253" i="3"/>
  <c r="D376" i="3"/>
  <c r="J379" i="3" s="1"/>
  <c r="H99" i="3"/>
  <c r="I99" i="3"/>
  <c r="R191" i="3"/>
  <c r="S182" i="3"/>
  <c r="U182" i="3"/>
  <c r="B184" i="7"/>
  <c r="P184" i="7" s="1"/>
  <c r="AG78" i="7"/>
  <c r="AH78" i="7" s="1"/>
  <c r="AG78" i="2"/>
  <c r="B184" i="2"/>
  <c r="J121" i="3"/>
  <c r="I121" i="3"/>
  <c r="H121" i="3"/>
  <c r="S154" i="3"/>
  <c r="U154" i="3"/>
  <c r="H306" i="3"/>
  <c r="J306" i="3"/>
  <c r="F314" i="3" s="1"/>
  <c r="T128" i="3"/>
  <c r="U128" i="3"/>
  <c r="S184" i="3"/>
  <c r="U184" i="3"/>
  <c r="AG10" i="7"/>
  <c r="AH10" i="7" s="1"/>
  <c r="AI10" i="7" s="1"/>
  <c r="AG10" i="2"/>
  <c r="J276" i="3"/>
  <c r="H276" i="3"/>
  <c r="S183" i="3"/>
  <c r="U183" i="3"/>
  <c r="H98" i="3"/>
  <c r="I98" i="3"/>
  <c r="U244" i="3"/>
  <c r="H187" i="3"/>
  <c r="J187" i="3"/>
  <c r="L175" i="2"/>
  <c r="L172" i="2"/>
  <c r="L170" i="2"/>
  <c r="L161" i="2"/>
  <c r="L164" i="2"/>
  <c r="L163" i="2"/>
  <c r="L174" i="2"/>
  <c r="L162" i="2"/>
  <c r="L173" i="2"/>
  <c r="L171" i="2"/>
  <c r="L160" i="2"/>
  <c r="L169" i="2"/>
  <c r="L159" i="2"/>
  <c r="L158" i="2"/>
  <c r="H219" i="3"/>
  <c r="J219" i="3"/>
  <c r="J125" i="3"/>
  <c r="H125" i="3"/>
  <c r="I125" i="3"/>
  <c r="J183" i="2"/>
  <c r="J215" i="3"/>
  <c r="H215" i="3"/>
  <c r="H186" i="3"/>
  <c r="J186" i="3"/>
  <c r="S185" i="3"/>
  <c r="U185" i="3"/>
  <c r="H336" i="3"/>
  <c r="E344" i="3" s="1"/>
  <c r="J336" i="3"/>
  <c r="F344" i="3" s="1"/>
  <c r="S186" i="3"/>
  <c r="U186" i="3"/>
  <c r="K158" i="2"/>
  <c r="K161" i="2"/>
  <c r="K169" i="2"/>
  <c r="K172" i="2"/>
  <c r="K159" i="2"/>
  <c r="K164" i="2"/>
  <c r="K171" i="2"/>
  <c r="K173" i="2"/>
  <c r="K160" i="2"/>
  <c r="K174" i="2"/>
  <c r="K162" i="2"/>
  <c r="K163" i="2"/>
  <c r="K175" i="2"/>
  <c r="K170" i="2"/>
  <c r="G222" i="3"/>
  <c r="J216" i="3"/>
  <c r="H216" i="3"/>
  <c r="G191" i="3"/>
  <c r="H182" i="3"/>
  <c r="J182" i="3"/>
  <c r="S156" i="3"/>
  <c r="U156" i="3"/>
  <c r="S153" i="3"/>
  <c r="U153" i="3"/>
  <c r="M174" i="2"/>
  <c r="M161" i="2"/>
  <c r="M163" i="2"/>
  <c r="M175" i="2"/>
  <c r="M172" i="2"/>
  <c r="M158" i="2"/>
  <c r="M171" i="2"/>
  <c r="M160" i="2"/>
  <c r="M170" i="2"/>
  <c r="M173" i="2"/>
  <c r="M169" i="2"/>
  <c r="M159" i="2"/>
  <c r="M162" i="2"/>
  <c r="M164" i="2"/>
  <c r="J127" i="3"/>
  <c r="I127" i="3"/>
  <c r="H127" i="3"/>
  <c r="I122" i="3"/>
  <c r="H122" i="3"/>
  <c r="AP181" i="3"/>
  <c r="AM178" i="3"/>
  <c r="G283" i="3"/>
  <c r="J214" i="3"/>
  <c r="H214" i="3"/>
  <c r="H188" i="3"/>
  <c r="J188" i="3"/>
  <c r="S155" i="3"/>
  <c r="U155" i="3"/>
  <c r="J288" i="3"/>
  <c r="O255" i="3"/>
  <c r="U258" i="3" s="1"/>
  <c r="U246" i="3"/>
  <c r="S246" i="3"/>
  <c r="U245" i="3"/>
  <c r="S245" i="3"/>
  <c r="S306" i="3"/>
  <c r="U306" i="3"/>
  <c r="S307" i="3"/>
  <c r="U307" i="3"/>
  <c r="S305" i="3"/>
  <c r="U305" i="3"/>
  <c r="U219" i="3"/>
  <c r="S219" i="3"/>
  <c r="U217" i="3"/>
  <c r="S217" i="3"/>
  <c r="U216" i="3"/>
  <c r="S216" i="3"/>
  <c r="U215" i="3"/>
  <c r="S215" i="3"/>
  <c r="U214" i="3"/>
  <c r="S214" i="3"/>
  <c r="AM181" i="3"/>
  <c r="AP185" i="3" s="1"/>
  <c r="O193" i="3"/>
  <c r="N195" i="3"/>
  <c r="N196" i="3" s="1"/>
  <c r="N197" i="3" s="1"/>
  <c r="O163" i="3"/>
  <c r="U166" i="3" s="1"/>
  <c r="R161" i="3"/>
  <c r="H152" i="3"/>
  <c r="J153" i="3"/>
  <c r="H155" i="3"/>
  <c r="J155" i="3"/>
  <c r="J156" i="3"/>
  <c r="H158" i="3"/>
  <c r="J158" i="3"/>
  <c r="H157" i="3"/>
  <c r="J157" i="3"/>
  <c r="R101" i="3"/>
  <c r="S101" i="3"/>
  <c r="T129" i="3"/>
  <c r="U129" i="3"/>
  <c r="S131" i="3"/>
  <c r="J122" i="3"/>
  <c r="J154" i="3"/>
  <c r="H154" i="3"/>
  <c r="G101" i="3"/>
  <c r="H96" i="3"/>
  <c r="G161" i="3"/>
  <c r="J159" i="3"/>
  <c r="S51" i="3"/>
  <c r="T124" i="3"/>
  <c r="U124" i="3"/>
  <c r="Q101" i="3"/>
  <c r="G129" i="3"/>
  <c r="R51" i="3"/>
  <c r="S54" i="3" s="1"/>
  <c r="F75" i="3"/>
  <c r="E75" i="3"/>
  <c r="D78" i="3"/>
  <c r="K77" i="3" s="1"/>
  <c r="C79" i="3"/>
  <c r="C80" i="3" s="1"/>
  <c r="C81" i="3" s="1"/>
  <c r="C82" i="3" s="1"/>
  <c r="S31" i="3"/>
  <c r="R31" i="3"/>
  <c r="Q31" i="3"/>
  <c r="S17" i="3"/>
  <c r="V17" i="3" s="1"/>
  <c r="S14" i="3"/>
  <c r="C15" i="3"/>
  <c r="C16" i="3" s="1"/>
  <c r="C17" i="3" s="1"/>
  <c r="C18" i="3" s="1"/>
  <c r="S57" i="3"/>
  <c r="V57" i="3" s="1"/>
  <c r="F11" i="3"/>
  <c r="G11" i="3"/>
  <c r="E11" i="3"/>
  <c r="G51" i="3"/>
  <c r="G57" i="3"/>
  <c r="F51" i="3"/>
  <c r="G37" i="3"/>
  <c r="K37" i="3" s="1"/>
  <c r="G34" i="3"/>
  <c r="AA9" i="2"/>
  <c r="K10" i="2"/>
  <c r="K59" i="2"/>
  <c r="K45" i="2"/>
  <c r="K35" i="2"/>
  <c r="K112" i="2"/>
  <c r="K9" i="2"/>
  <c r="K125" i="2"/>
  <c r="M125" i="2"/>
  <c r="M112" i="2"/>
  <c r="M191" i="2"/>
  <c r="J110" i="2"/>
  <c r="J112" i="2"/>
  <c r="J126" i="2"/>
  <c r="J125" i="2"/>
  <c r="L112" i="2"/>
  <c r="L9" i="2"/>
  <c r="L125" i="2"/>
  <c r="K183" i="2"/>
  <c r="AD66" i="2"/>
  <c r="AD47" i="2"/>
  <c r="AC75" i="2"/>
  <c r="AC76" i="2"/>
  <c r="AC37" i="2"/>
  <c r="AD33" i="2"/>
  <c r="M11" i="2"/>
  <c r="M107" i="2"/>
  <c r="L79" i="2"/>
  <c r="M48" i="2"/>
  <c r="AD65" i="2"/>
  <c r="M77" i="2"/>
  <c r="AB61" i="2"/>
  <c r="M10" i="2"/>
  <c r="M121" i="2"/>
  <c r="AB76" i="2"/>
  <c r="AD49" i="2"/>
  <c r="M14" i="2"/>
  <c r="M120" i="2"/>
  <c r="M15" i="2"/>
  <c r="AA37" i="2"/>
  <c r="M147" i="2"/>
  <c r="M47" i="2"/>
  <c r="AA76" i="2"/>
  <c r="AD10" i="2"/>
  <c r="M46" i="2"/>
  <c r="AD35" i="2"/>
  <c r="M51" i="2"/>
  <c r="AD34" i="2"/>
  <c r="M78" i="2"/>
  <c r="AD62" i="2"/>
  <c r="M103" i="2"/>
  <c r="AC67" i="2"/>
  <c r="M109" i="2"/>
  <c r="AB75" i="2"/>
  <c r="L110" i="2"/>
  <c r="M9" i="2"/>
  <c r="M108" i="2"/>
  <c r="AD77" i="2"/>
  <c r="M76" i="2"/>
  <c r="AA66" i="2"/>
  <c r="M139" i="2"/>
  <c r="AD32" i="2"/>
  <c r="M52" i="2"/>
  <c r="M106" i="2"/>
  <c r="M182" i="2"/>
  <c r="AA64" i="2"/>
  <c r="AD64" i="2"/>
  <c r="AA53" i="2"/>
  <c r="M59" i="2"/>
  <c r="M85" i="2"/>
  <c r="M105" i="2"/>
  <c r="M137" i="2"/>
  <c r="J189" i="2"/>
  <c r="AA75" i="2"/>
  <c r="AA78" i="2"/>
  <c r="AA77" i="2"/>
  <c r="AA63" i="2"/>
  <c r="AD63" i="2"/>
  <c r="AD52" i="2"/>
  <c r="AA22" i="2"/>
  <c r="AA20" i="2"/>
  <c r="L190" i="2"/>
  <c r="J184" i="2"/>
  <c r="M183" i="2"/>
  <c r="AA65" i="2"/>
  <c r="J134" i="2"/>
  <c r="M16" i="2"/>
  <c r="M74" i="2"/>
  <c r="M138" i="2"/>
  <c r="AC77" i="2"/>
  <c r="K92" i="2"/>
  <c r="K184" i="2"/>
  <c r="K140" i="2"/>
  <c r="K65" i="2"/>
  <c r="K192" i="2"/>
  <c r="K79" i="2"/>
  <c r="K53" i="2"/>
  <c r="K126" i="2"/>
  <c r="K191" i="2"/>
  <c r="K151" i="2"/>
  <c r="K110" i="2"/>
  <c r="M30" i="2"/>
  <c r="M64" i="2"/>
  <c r="M91" i="2"/>
  <c r="M104" i="2"/>
  <c r="M136" i="2"/>
  <c r="J190" i="2"/>
  <c r="AA62" i="2"/>
  <c r="AD9" i="2"/>
  <c r="AD51" i="2"/>
  <c r="M146" i="2"/>
  <c r="M134" i="2"/>
  <c r="J145" i="2"/>
  <c r="M35" i="2"/>
  <c r="M90" i="2"/>
  <c r="M135" i="2"/>
  <c r="AD50" i="2"/>
  <c r="AC78" i="2"/>
  <c r="AC22" i="2"/>
  <c r="AC53" i="2"/>
  <c r="M89" i="2"/>
  <c r="L189" i="2"/>
  <c r="AD75" i="2"/>
  <c r="AC61" i="2"/>
  <c r="AD20" i="2"/>
  <c r="AA67" i="2"/>
  <c r="M75" i="2"/>
  <c r="M192" i="2"/>
  <c r="M53" i="2"/>
  <c r="M110" i="2"/>
  <c r="M140" i="2"/>
  <c r="M79" i="2"/>
  <c r="M92" i="2"/>
  <c r="M65" i="2"/>
  <c r="M184" i="2"/>
  <c r="M126" i="2"/>
  <c r="M151" i="2"/>
  <c r="AB78" i="2"/>
  <c r="AB53" i="2"/>
  <c r="AB22" i="2"/>
  <c r="AB77" i="2"/>
  <c r="AB37" i="2"/>
  <c r="AB67" i="2"/>
  <c r="M63" i="2"/>
  <c r="M119" i="2"/>
  <c r="L184" i="2"/>
  <c r="M38" i="2"/>
  <c r="M62" i="2"/>
  <c r="M145" i="2"/>
  <c r="L140" i="2"/>
  <c r="L92" i="2"/>
  <c r="L65" i="2"/>
  <c r="L53" i="2"/>
  <c r="L151" i="2"/>
  <c r="L192" i="2"/>
  <c r="AD37" i="2"/>
  <c r="AD78" i="2"/>
  <c r="AD53" i="2"/>
  <c r="AD22" i="2"/>
  <c r="AD67" i="2"/>
  <c r="M37" i="2"/>
  <c r="M61" i="2"/>
  <c r="M88" i="2"/>
  <c r="M124" i="2"/>
  <c r="M150" i="2"/>
  <c r="M189" i="2"/>
  <c r="AA61" i="2"/>
  <c r="AD21" i="2"/>
  <c r="AD48" i="2"/>
  <c r="L191" i="2"/>
  <c r="M36" i="2"/>
  <c r="M60" i="2"/>
  <c r="M87" i="2"/>
  <c r="M123" i="2"/>
  <c r="M149" i="2"/>
  <c r="M190" i="2"/>
  <c r="AD31" i="2"/>
  <c r="L126" i="2"/>
  <c r="K145" i="2"/>
  <c r="M27" i="2"/>
  <c r="M45" i="2"/>
  <c r="M73" i="2"/>
  <c r="M86" i="2"/>
  <c r="M122" i="2"/>
  <c r="M148" i="2"/>
  <c r="AD76" i="2"/>
  <c r="AD36" i="2"/>
  <c r="AD46" i="2"/>
  <c r="J191" i="2"/>
  <c r="K189" i="2"/>
  <c r="K190" i="2"/>
  <c r="J182" i="2"/>
  <c r="L183" i="2"/>
  <c r="K182" i="2"/>
  <c r="L182" i="2"/>
  <c r="AB62" i="2"/>
  <c r="AB63" i="2"/>
  <c r="AB64" i="2"/>
  <c r="AB65" i="2"/>
  <c r="AB66" i="2"/>
  <c r="AC62" i="2"/>
  <c r="AC63" i="2"/>
  <c r="AC64" i="2"/>
  <c r="AC65" i="2"/>
  <c r="AC66" i="2"/>
  <c r="K146" i="2"/>
  <c r="K147" i="2"/>
  <c r="K148" i="2"/>
  <c r="K149" i="2"/>
  <c r="K150" i="2"/>
  <c r="L146" i="2"/>
  <c r="L147" i="2"/>
  <c r="L148" i="2"/>
  <c r="L149" i="2"/>
  <c r="L150" i="2"/>
  <c r="L145" i="2"/>
  <c r="J146" i="2"/>
  <c r="J147" i="2"/>
  <c r="J148" i="2"/>
  <c r="J149" i="2"/>
  <c r="J150" i="2"/>
  <c r="K135" i="2"/>
  <c r="K136" i="2"/>
  <c r="K137" i="2"/>
  <c r="K138" i="2"/>
  <c r="K139" i="2"/>
  <c r="K134" i="2"/>
  <c r="J135" i="2"/>
  <c r="J136" i="2"/>
  <c r="J137" i="2"/>
  <c r="J138" i="2"/>
  <c r="J139" i="2"/>
  <c r="L134" i="2"/>
  <c r="L135" i="2"/>
  <c r="L136" i="2"/>
  <c r="L137" i="2"/>
  <c r="L138" i="2"/>
  <c r="L139" i="2"/>
  <c r="J119" i="2"/>
  <c r="K119" i="2"/>
  <c r="L119" i="2"/>
  <c r="J120" i="2"/>
  <c r="K120" i="2"/>
  <c r="L120" i="2"/>
  <c r="J121" i="2"/>
  <c r="K121" i="2"/>
  <c r="L121" i="2"/>
  <c r="J122" i="2"/>
  <c r="K122" i="2"/>
  <c r="L122" i="2"/>
  <c r="J123" i="2"/>
  <c r="K123" i="2"/>
  <c r="L123" i="2"/>
  <c r="J124" i="2"/>
  <c r="K124" i="2"/>
  <c r="L124" i="2"/>
  <c r="K74" i="2"/>
  <c r="K75" i="2"/>
  <c r="K76" i="2"/>
  <c r="K77" i="2"/>
  <c r="K78" i="2"/>
  <c r="K73" i="2"/>
  <c r="K104" i="2"/>
  <c r="K105" i="2"/>
  <c r="K106" i="2"/>
  <c r="K107" i="2"/>
  <c r="K108" i="2"/>
  <c r="K109" i="2"/>
  <c r="K103" i="2"/>
  <c r="L74" i="2"/>
  <c r="L75" i="2"/>
  <c r="L76" i="2"/>
  <c r="L77" i="2"/>
  <c r="L78" i="2"/>
  <c r="L73" i="2"/>
  <c r="L104" i="2"/>
  <c r="L105" i="2"/>
  <c r="L106" i="2"/>
  <c r="L107" i="2"/>
  <c r="L108" i="2"/>
  <c r="L109" i="2"/>
  <c r="L103" i="2"/>
  <c r="J74" i="2"/>
  <c r="J75" i="2"/>
  <c r="J76" i="2"/>
  <c r="J77" i="2"/>
  <c r="J78" i="2"/>
  <c r="J73" i="2"/>
  <c r="J104" i="2"/>
  <c r="J105" i="2"/>
  <c r="J106" i="2"/>
  <c r="J107" i="2"/>
  <c r="J108" i="2"/>
  <c r="J109" i="2"/>
  <c r="J103" i="2"/>
  <c r="AB46" i="2"/>
  <c r="AB47" i="2"/>
  <c r="AB48" i="2"/>
  <c r="AB49" i="2"/>
  <c r="AB50" i="2"/>
  <c r="AB51" i="2"/>
  <c r="AB52" i="2"/>
  <c r="AC46" i="2"/>
  <c r="AC47" i="2"/>
  <c r="AC48" i="2"/>
  <c r="AC49" i="2"/>
  <c r="AC50" i="2"/>
  <c r="AC51" i="2"/>
  <c r="AC52" i="2"/>
  <c r="AA46" i="2"/>
  <c r="AA47" i="2"/>
  <c r="AA48" i="2"/>
  <c r="AA49" i="2"/>
  <c r="AA50" i="2"/>
  <c r="AA51" i="2"/>
  <c r="AA52" i="2"/>
  <c r="K86" i="2"/>
  <c r="K87" i="2"/>
  <c r="K88" i="2"/>
  <c r="K89" i="2"/>
  <c r="K90" i="2"/>
  <c r="K91" i="2"/>
  <c r="K85" i="2"/>
  <c r="L86" i="2"/>
  <c r="L87" i="2"/>
  <c r="L88" i="2"/>
  <c r="L89" i="2"/>
  <c r="L90" i="2"/>
  <c r="L91" i="2"/>
  <c r="L85" i="2"/>
  <c r="J86" i="2"/>
  <c r="J87" i="2"/>
  <c r="J88" i="2"/>
  <c r="J89" i="2"/>
  <c r="J90" i="2"/>
  <c r="J91" i="2"/>
  <c r="J85" i="2"/>
  <c r="AB33" i="2"/>
  <c r="AB32" i="2"/>
  <c r="AB34" i="2"/>
  <c r="AB35" i="2"/>
  <c r="AB36" i="2"/>
  <c r="AB31" i="2"/>
  <c r="AC32" i="2"/>
  <c r="AC33" i="2"/>
  <c r="AC34" i="2"/>
  <c r="AC35" i="2"/>
  <c r="AC36" i="2"/>
  <c r="AC31" i="2"/>
  <c r="AA32" i="2"/>
  <c r="AA33" i="2"/>
  <c r="AA34" i="2"/>
  <c r="AA35" i="2"/>
  <c r="AA36" i="2"/>
  <c r="AA31" i="2"/>
  <c r="K60" i="2"/>
  <c r="K61" i="2"/>
  <c r="K62" i="2"/>
  <c r="K63" i="2"/>
  <c r="K64" i="2"/>
  <c r="L60" i="2"/>
  <c r="L61" i="2"/>
  <c r="L62" i="2"/>
  <c r="L63" i="2"/>
  <c r="L64" i="2"/>
  <c r="L59" i="2"/>
  <c r="J60" i="2"/>
  <c r="J61" i="2"/>
  <c r="J62" i="2"/>
  <c r="J63" i="2"/>
  <c r="J64" i="2"/>
  <c r="J59" i="2"/>
  <c r="K52" i="2"/>
  <c r="K51" i="2"/>
  <c r="K46" i="2"/>
  <c r="K47" i="2"/>
  <c r="K48" i="2"/>
  <c r="L52" i="2"/>
  <c r="L51" i="2"/>
  <c r="L46" i="2"/>
  <c r="L47" i="2"/>
  <c r="L48" i="2"/>
  <c r="L45" i="2"/>
  <c r="AB21" i="2"/>
  <c r="AB20" i="2"/>
  <c r="AB10" i="2"/>
  <c r="AC21" i="2"/>
  <c r="AC20" i="2"/>
  <c r="AC10" i="2"/>
  <c r="AA21" i="2"/>
  <c r="J48" i="2"/>
  <c r="J46" i="2"/>
  <c r="J47" i="2"/>
  <c r="J45" i="2"/>
  <c r="J52" i="2"/>
  <c r="J51" i="2"/>
  <c r="K36" i="2"/>
  <c r="K37" i="2"/>
  <c r="K38" i="2"/>
  <c r="L35" i="2"/>
  <c r="L36" i="2"/>
  <c r="L37" i="2"/>
  <c r="L38" i="2"/>
  <c r="J35" i="2"/>
  <c r="J36" i="2"/>
  <c r="J37" i="2"/>
  <c r="J38" i="2"/>
  <c r="K30" i="2"/>
  <c r="K27" i="2"/>
  <c r="L30" i="2"/>
  <c r="L27" i="2"/>
  <c r="AA10" i="2"/>
  <c r="AB9" i="2"/>
  <c r="AC9" i="2"/>
  <c r="K11" i="2"/>
  <c r="K14" i="2"/>
  <c r="L11" i="2"/>
  <c r="L14" i="2"/>
  <c r="L10" i="2"/>
  <c r="L16" i="2"/>
  <c r="L15" i="2"/>
  <c r="K16" i="2"/>
  <c r="K15" i="2"/>
  <c r="F5" i="1"/>
  <c r="F6" i="1"/>
  <c r="F4" i="1"/>
  <c r="E253" i="3" l="1"/>
  <c r="G258" i="3" s="1"/>
  <c r="J262" i="3" s="1"/>
  <c r="Q283" i="3"/>
  <c r="R285" i="3" s="1"/>
  <c r="P191" i="7"/>
  <c r="AY4" i="1"/>
  <c r="B189" i="2" s="1"/>
  <c r="B182" i="2"/>
  <c r="AG75" i="2"/>
  <c r="AG75" i="7"/>
  <c r="AH75" i="7" s="1"/>
  <c r="B182" i="7"/>
  <c r="P182" i="7" s="1"/>
  <c r="Q344" i="3"/>
  <c r="R346" i="3" s="1"/>
  <c r="R288" i="3"/>
  <c r="U292" i="3" s="1"/>
  <c r="E314" i="3"/>
  <c r="G316" i="3" s="1"/>
  <c r="S107" i="3"/>
  <c r="V109" i="3" s="1"/>
  <c r="G376" i="3"/>
  <c r="O162" i="2"/>
  <c r="O174" i="2"/>
  <c r="E283" i="3"/>
  <c r="F101" i="3"/>
  <c r="F283" i="3"/>
  <c r="O170" i="2"/>
  <c r="O125" i="2"/>
  <c r="O169" i="2"/>
  <c r="P169" i="2" s="1"/>
  <c r="O175" i="2"/>
  <c r="P175" i="2" s="1"/>
  <c r="O158" i="2"/>
  <c r="P158" i="2" s="1"/>
  <c r="E222" i="3"/>
  <c r="G227" i="3" s="1"/>
  <c r="J231" i="3" s="1"/>
  <c r="O163" i="2"/>
  <c r="P222" i="3"/>
  <c r="R227" i="3" s="1"/>
  <c r="U231" i="3" s="1"/>
  <c r="Q222" i="3"/>
  <c r="G349" i="3"/>
  <c r="J353" i="3" s="1"/>
  <c r="G346" i="3"/>
  <c r="Q191" i="3"/>
  <c r="R131" i="3"/>
  <c r="E191" i="3"/>
  <c r="F222" i="3"/>
  <c r="O160" i="2"/>
  <c r="O173" i="2"/>
  <c r="Q131" i="3"/>
  <c r="O134" i="3" s="1"/>
  <c r="O135" i="3" s="1"/>
  <c r="O136" i="3" s="1"/>
  <c r="E101" i="3"/>
  <c r="O171" i="2"/>
  <c r="F191" i="3"/>
  <c r="P191" i="3"/>
  <c r="G379" i="3"/>
  <c r="J383" i="3" s="1"/>
  <c r="F129" i="3"/>
  <c r="P253" i="3"/>
  <c r="R258" i="3" s="1"/>
  <c r="U262" i="3" s="1"/>
  <c r="O164" i="2"/>
  <c r="E129" i="3"/>
  <c r="Q314" i="3"/>
  <c r="Q253" i="3"/>
  <c r="O159" i="2"/>
  <c r="H6" i="1"/>
  <c r="K4" i="1" s="1"/>
  <c r="B9" i="7"/>
  <c r="P9" i="7" s="1"/>
  <c r="B9" i="2"/>
  <c r="P314" i="3"/>
  <c r="O172" i="2"/>
  <c r="H5" i="1"/>
  <c r="B11" i="7"/>
  <c r="P11" i="7" s="1"/>
  <c r="B11" i="2"/>
  <c r="H4" i="1"/>
  <c r="B10" i="7"/>
  <c r="P10" i="7" s="1"/>
  <c r="B10" i="2"/>
  <c r="O161" i="2"/>
  <c r="U196" i="3"/>
  <c r="Q161" i="3"/>
  <c r="P161" i="3"/>
  <c r="F161" i="3"/>
  <c r="E161" i="3"/>
  <c r="C164" i="3"/>
  <c r="P133" i="3"/>
  <c r="S104" i="3"/>
  <c r="G81" i="3"/>
  <c r="K81" i="3" s="1"/>
  <c r="G78" i="3"/>
  <c r="S37" i="3"/>
  <c r="V37" i="3" s="1"/>
  <c r="S34" i="3"/>
  <c r="G17" i="3"/>
  <c r="K17" i="3" s="1"/>
  <c r="G14" i="3"/>
  <c r="K57" i="3"/>
  <c r="G54" i="3"/>
  <c r="O191" i="2"/>
  <c r="P191" i="2" s="1"/>
  <c r="AF9" i="2"/>
  <c r="AH9" i="2" s="1"/>
  <c r="O30" i="2"/>
  <c r="O184" i="2"/>
  <c r="P184" i="2" s="1"/>
  <c r="O110" i="2"/>
  <c r="O192" i="2"/>
  <c r="AF48" i="2"/>
  <c r="O189" i="2"/>
  <c r="O112" i="2"/>
  <c r="O190" i="2"/>
  <c r="O76" i="2"/>
  <c r="O79" i="2"/>
  <c r="AF76" i="2"/>
  <c r="AF49" i="2"/>
  <c r="O105" i="2"/>
  <c r="O145" i="2"/>
  <c r="O151" i="2"/>
  <c r="O53" i="2"/>
  <c r="O91" i="2"/>
  <c r="AF51" i="2"/>
  <c r="O107" i="2"/>
  <c r="O135" i="2"/>
  <c r="O11" i="2"/>
  <c r="O90" i="2"/>
  <c r="O106" i="2"/>
  <c r="O134" i="2"/>
  <c r="O15" i="2"/>
  <c r="O88" i="2"/>
  <c r="O75" i="2"/>
  <c r="O77" i="2"/>
  <c r="O78" i="2"/>
  <c r="O89" i="2"/>
  <c r="AF31" i="2"/>
  <c r="AF47" i="2"/>
  <c r="AF75" i="2"/>
  <c r="O14" i="2"/>
  <c r="AF37" i="2"/>
  <c r="O140" i="2"/>
  <c r="AF67" i="2"/>
  <c r="O51" i="2"/>
  <c r="O74" i="2"/>
  <c r="AF61" i="2"/>
  <c r="O126" i="2"/>
  <c r="O9" i="2"/>
  <c r="O92" i="2"/>
  <c r="AF20" i="2"/>
  <c r="AF66" i="2"/>
  <c r="AF22" i="2"/>
  <c r="AH22" i="2" s="1"/>
  <c r="AF36" i="2"/>
  <c r="O149" i="2"/>
  <c r="O10" i="2"/>
  <c r="O37" i="2"/>
  <c r="O52" i="2"/>
  <c r="AF32" i="2"/>
  <c r="O86" i="2"/>
  <c r="AF46" i="2"/>
  <c r="O146" i="2"/>
  <c r="O104" i="2"/>
  <c r="O148" i="2"/>
  <c r="O38" i="2"/>
  <c r="O87" i="2"/>
  <c r="O183" i="2"/>
  <c r="AF65" i="2"/>
  <c r="O150" i="2"/>
  <c r="O27" i="2"/>
  <c r="AF34" i="2"/>
  <c r="O45" i="2"/>
  <c r="P45" i="2" s="1"/>
  <c r="O35" i="2"/>
  <c r="P35" i="2" s="1"/>
  <c r="O16" i="2"/>
  <c r="O46" i="2"/>
  <c r="O63" i="2"/>
  <c r="O139" i="2"/>
  <c r="AF53" i="2"/>
  <c r="AF33" i="2"/>
  <c r="O73" i="2"/>
  <c r="O36" i="2"/>
  <c r="O59" i="2"/>
  <c r="O48" i="2"/>
  <c r="O62" i="2"/>
  <c r="O103" i="2"/>
  <c r="O138" i="2"/>
  <c r="AF10" i="2"/>
  <c r="AH10" i="2" s="1"/>
  <c r="O61" i="2"/>
  <c r="O109" i="2"/>
  <c r="O137" i="2"/>
  <c r="AF62" i="2"/>
  <c r="AF63" i="2"/>
  <c r="AF78" i="2"/>
  <c r="AH78" i="2" s="1"/>
  <c r="AF50" i="2"/>
  <c r="AF35" i="2"/>
  <c r="O147" i="2"/>
  <c r="O47" i="2"/>
  <c r="O64" i="2"/>
  <c r="O65" i="2"/>
  <c r="AF21" i="2"/>
  <c r="AH21" i="2" s="1"/>
  <c r="O60" i="2"/>
  <c r="O85" i="2"/>
  <c r="AF52" i="2"/>
  <c r="O108" i="2"/>
  <c r="O136" i="2"/>
  <c r="AF77" i="2"/>
  <c r="AH77" i="2" s="1"/>
  <c r="AF64" i="2"/>
  <c r="O182" i="2"/>
  <c r="O124" i="2"/>
  <c r="O123" i="2"/>
  <c r="O122" i="2"/>
  <c r="O121" i="2"/>
  <c r="O120" i="2"/>
  <c r="O119" i="2"/>
  <c r="AW5" i="1"/>
  <c r="G255" i="3" l="1"/>
  <c r="BE4" i="1"/>
  <c r="B189" i="7"/>
  <c r="P189" i="7" s="1"/>
  <c r="P182" i="2"/>
  <c r="AH75" i="2"/>
  <c r="G319" i="3"/>
  <c r="J323" i="3" s="1"/>
  <c r="R224" i="3"/>
  <c r="G285" i="3"/>
  <c r="G288" i="3"/>
  <c r="J292" i="3" s="1"/>
  <c r="R193" i="3"/>
  <c r="K5" i="1"/>
  <c r="L13" i="1" s="1"/>
  <c r="M6" i="1" s="1"/>
  <c r="B37" i="7" s="1"/>
  <c r="P37" i="7" s="1"/>
  <c r="P10" i="2"/>
  <c r="R255" i="3"/>
  <c r="G224" i="3"/>
  <c r="P11" i="2"/>
  <c r="AI10" i="2"/>
  <c r="B14" i="7"/>
  <c r="P14" i="7" s="1"/>
  <c r="B14" i="2"/>
  <c r="P14" i="2" s="1"/>
  <c r="R196" i="3"/>
  <c r="U200" i="3" s="1"/>
  <c r="B27" i="7"/>
  <c r="P27" i="7" s="1"/>
  <c r="B27" i="2"/>
  <c r="P27" i="2" s="1"/>
  <c r="R316" i="3"/>
  <c r="R319" i="3"/>
  <c r="U323" i="3" s="1"/>
  <c r="G193" i="3"/>
  <c r="G196" i="3"/>
  <c r="J200" i="3" s="1"/>
  <c r="P9" i="2"/>
  <c r="P189" i="2"/>
  <c r="Q11" i="7"/>
  <c r="B16" i="7"/>
  <c r="P16" i="7" s="1"/>
  <c r="B16" i="2"/>
  <c r="P16" i="2" s="1"/>
  <c r="AT5" i="1"/>
  <c r="B183" i="7"/>
  <c r="P183" i="7" s="1"/>
  <c r="Q184" i="7" s="1"/>
  <c r="AG76" i="7"/>
  <c r="AH76" i="7" s="1"/>
  <c r="AI78" i="7" s="1"/>
  <c r="AG76" i="2"/>
  <c r="AH76" i="2" s="1"/>
  <c r="B183" i="2"/>
  <c r="P183" i="2" s="1"/>
  <c r="B15" i="7"/>
  <c r="P15" i="7" s="1"/>
  <c r="B15" i="2"/>
  <c r="P15" i="2" s="1"/>
  <c r="G13" i="1"/>
  <c r="R163" i="3"/>
  <c r="R166" i="3"/>
  <c r="U170" i="3" s="1"/>
  <c r="D163" i="3"/>
  <c r="J166" i="3" s="1"/>
  <c r="C165" i="3"/>
  <c r="C166" i="3" s="1"/>
  <c r="J167" i="3" s="1"/>
  <c r="S136" i="3"/>
  <c r="U140" i="3" s="1"/>
  <c r="S133" i="3"/>
  <c r="U136" i="3"/>
  <c r="U137" i="3"/>
  <c r="O137" i="3"/>
  <c r="C132" i="3"/>
  <c r="AY5" i="1"/>
  <c r="Q184" i="2" l="1"/>
  <c r="AI78" i="2"/>
  <c r="Q11" i="2"/>
  <c r="B30" i="7"/>
  <c r="P30" i="7" s="1"/>
  <c r="Q30" i="7" s="1"/>
  <c r="B30" i="2"/>
  <c r="P30" i="2" s="1"/>
  <c r="Q30" i="2" s="1"/>
  <c r="M5" i="1"/>
  <c r="B36" i="7" s="1"/>
  <c r="P36" i="7" s="1"/>
  <c r="M7" i="1"/>
  <c r="B38" i="7" s="1"/>
  <c r="P38" i="7" s="1"/>
  <c r="Q16" i="2"/>
  <c r="Q16" i="7"/>
  <c r="Q19" i="7" s="1"/>
  <c r="B190" i="2"/>
  <c r="P190" i="2" s="1"/>
  <c r="B190" i="7"/>
  <c r="P190" i="7" s="1"/>
  <c r="C167" i="3"/>
  <c r="G166" i="3"/>
  <c r="J170" i="3" s="1"/>
  <c r="G163" i="3"/>
  <c r="C105" i="3"/>
  <c r="C106" i="3" s="1"/>
  <c r="C107" i="3" s="1"/>
  <c r="C108" i="3" s="1"/>
  <c r="D104" i="3"/>
  <c r="G104" i="3" s="1"/>
  <c r="C133" i="3"/>
  <c r="C134" i="3" s="1"/>
  <c r="D131" i="3"/>
  <c r="S9" i="1"/>
  <c r="B37" i="2"/>
  <c r="P37" i="2" s="1"/>
  <c r="S4" i="1"/>
  <c r="Q19" i="2" l="1"/>
  <c r="Q38" i="7"/>
  <c r="Q40" i="7" s="1"/>
  <c r="B36" i="2"/>
  <c r="P36" i="2" s="1"/>
  <c r="S8" i="1"/>
  <c r="B46" i="2" s="1"/>
  <c r="B38" i="2"/>
  <c r="P38" i="2" s="1"/>
  <c r="S10" i="1"/>
  <c r="B48" i="7" s="1"/>
  <c r="P48" i="7" s="1"/>
  <c r="B47" i="7"/>
  <c r="P47" i="7" s="1"/>
  <c r="B47" i="2"/>
  <c r="U4" i="1"/>
  <c r="B52" i="7"/>
  <c r="P52" i="7" s="1"/>
  <c r="B52" i="2"/>
  <c r="P52" i="2" s="1"/>
  <c r="G131" i="3"/>
  <c r="G134" i="3"/>
  <c r="J138" i="3" s="1"/>
  <c r="J134" i="3"/>
  <c r="K105" i="3"/>
  <c r="G107" i="3"/>
  <c r="K109" i="3" s="1"/>
  <c r="C135" i="3"/>
  <c r="J135" i="3"/>
  <c r="P5" i="1"/>
  <c r="B46" i="7" l="1"/>
  <c r="P46" i="7" s="1"/>
  <c r="Q48" i="7" s="1"/>
  <c r="Q38" i="2"/>
  <c r="Q40" i="2" s="1"/>
  <c r="B48" i="2"/>
  <c r="P48" i="2" s="1"/>
  <c r="U10" i="1"/>
  <c r="B64" i="7" s="1"/>
  <c r="P64" i="7" s="1"/>
  <c r="X4" i="1"/>
  <c r="B59" i="7"/>
  <c r="P59" i="7" s="1"/>
  <c r="AG31" i="7"/>
  <c r="AH31" i="7" s="1"/>
  <c r="B59" i="2"/>
  <c r="P59" i="2" s="1"/>
  <c r="AG31" i="2"/>
  <c r="AH31" i="2" s="1"/>
  <c r="AG20" i="7"/>
  <c r="AH20" i="7" s="1"/>
  <c r="AI22" i="7" s="1"/>
  <c r="AG20" i="2"/>
  <c r="AH20" i="2" s="1"/>
  <c r="AI22" i="2" s="1"/>
  <c r="S5" i="1"/>
  <c r="S6" i="1"/>
  <c r="B53" i="7" s="1"/>
  <c r="P53" i="7" s="1"/>
  <c r="U7" i="1"/>
  <c r="X10" i="1" l="1"/>
  <c r="AG36" i="7"/>
  <c r="AH36" i="7" s="1"/>
  <c r="B64" i="2"/>
  <c r="P64" i="2" s="1"/>
  <c r="AG36" i="2"/>
  <c r="AH36" i="2" s="1"/>
  <c r="Z4" i="1"/>
  <c r="B73" i="7"/>
  <c r="P73" i="7" s="1"/>
  <c r="B73" i="2"/>
  <c r="P73" i="2" s="1"/>
  <c r="B51" i="7"/>
  <c r="P51" i="7" s="1"/>
  <c r="Q52" i="7" s="1"/>
  <c r="B51" i="2"/>
  <c r="P51" i="2" s="1"/>
  <c r="T14" i="1"/>
  <c r="U8" i="1" s="1"/>
  <c r="B61" i="7"/>
  <c r="P61" i="7" s="1"/>
  <c r="AG33" i="7"/>
  <c r="AH33" i="7" s="1"/>
  <c r="B61" i="2"/>
  <c r="P61" i="2" s="1"/>
  <c r="AG33" i="2"/>
  <c r="AH33" i="2" s="1"/>
  <c r="U6" i="1"/>
  <c r="B53" i="2"/>
  <c r="P53" i="2" s="1"/>
  <c r="X7" i="1"/>
  <c r="B78" i="2" l="1"/>
  <c r="P78" i="2" s="1"/>
  <c r="B78" i="7"/>
  <c r="P78" i="7" s="1"/>
  <c r="Q52" i="2"/>
  <c r="AG34" i="7"/>
  <c r="AH34" i="7" s="1"/>
  <c r="B62" i="7"/>
  <c r="P62" i="7" s="1"/>
  <c r="Z7" i="1"/>
  <c r="B75" i="7"/>
  <c r="P75" i="7" s="1"/>
  <c r="B75" i="2"/>
  <c r="P75" i="2" s="1"/>
  <c r="AC4" i="1"/>
  <c r="AG46" i="7"/>
  <c r="AH46" i="7" s="1"/>
  <c r="B85" i="7"/>
  <c r="P85" i="7" s="1"/>
  <c r="AG46" i="2"/>
  <c r="AH46" i="2" s="1"/>
  <c r="B85" i="2"/>
  <c r="P85" i="2" s="1"/>
  <c r="B65" i="7"/>
  <c r="P65" i="7" s="1"/>
  <c r="AG37" i="7"/>
  <c r="AH37" i="7" s="1"/>
  <c r="X6" i="1"/>
  <c r="B79" i="7" s="1"/>
  <c r="P79" i="7" s="1"/>
  <c r="AG37" i="2"/>
  <c r="AH37" i="2" s="1"/>
  <c r="B65" i="2"/>
  <c r="P65" i="2" s="1"/>
  <c r="P46" i="2"/>
  <c r="AG34" i="2"/>
  <c r="AH34" i="2" s="1"/>
  <c r="B62" i="2"/>
  <c r="P62" i="2" s="1"/>
  <c r="U5" i="1"/>
  <c r="X8" i="1"/>
  <c r="U9" i="1"/>
  <c r="AC7" i="1" l="1"/>
  <c r="B87" i="7"/>
  <c r="P87" i="7" s="1"/>
  <c r="AG48" i="7"/>
  <c r="AH48" i="7" s="1"/>
  <c r="AG48" i="2"/>
  <c r="AH48" i="2" s="1"/>
  <c r="B87" i="2"/>
  <c r="P87" i="2" s="1"/>
  <c r="AE4" i="1"/>
  <c r="B103" i="7"/>
  <c r="P103" i="7" s="1"/>
  <c r="B103" i="2"/>
  <c r="P103" i="2" s="1"/>
  <c r="B76" i="2"/>
  <c r="P76" i="2" s="1"/>
  <c r="B76" i="7"/>
  <c r="P76" i="7" s="1"/>
  <c r="B63" i="7"/>
  <c r="P63" i="7" s="1"/>
  <c r="AG35" i="7"/>
  <c r="AH35" i="7" s="1"/>
  <c r="X5" i="1"/>
  <c r="B60" i="7"/>
  <c r="P60" i="7" s="1"/>
  <c r="AG32" i="7"/>
  <c r="AH32" i="7" s="1"/>
  <c r="B60" i="2"/>
  <c r="P60" i="2" s="1"/>
  <c r="AG32" i="2"/>
  <c r="AH32" i="2" s="1"/>
  <c r="Z6" i="1"/>
  <c r="B79" i="2"/>
  <c r="P79" i="2" s="1"/>
  <c r="X9" i="1"/>
  <c r="B77" i="7" s="1"/>
  <c r="P77" i="7" s="1"/>
  <c r="AG35" i="2"/>
  <c r="AH35" i="2" s="1"/>
  <c r="P47" i="2"/>
  <c r="Q48" i="2" s="1"/>
  <c r="B63" i="2"/>
  <c r="P63" i="2" s="1"/>
  <c r="Q64" i="2" l="1"/>
  <c r="Q66" i="2" s="1"/>
  <c r="AI37" i="2"/>
  <c r="Q64" i="7"/>
  <c r="Q66" i="7" s="1"/>
  <c r="Z5" i="1"/>
  <c r="B74" i="7"/>
  <c r="P74" i="7" s="1"/>
  <c r="Q78" i="7" s="1"/>
  <c r="B74" i="2"/>
  <c r="P74" i="2" s="1"/>
  <c r="AG53" i="7"/>
  <c r="AH53" i="7" s="1"/>
  <c r="B92" i="7"/>
  <c r="P92" i="7" s="1"/>
  <c r="AE7" i="1"/>
  <c r="B105" i="7"/>
  <c r="P105" i="7" s="1"/>
  <c r="B105" i="2"/>
  <c r="P105" i="2" s="1"/>
  <c r="AH4" i="1"/>
  <c r="B119" i="7"/>
  <c r="P119" i="7" s="1"/>
  <c r="B119" i="2"/>
  <c r="P119" i="2" s="1"/>
  <c r="AI37" i="7"/>
  <c r="AC6" i="1"/>
  <c r="B110" i="7" s="1"/>
  <c r="P110" i="7" s="1"/>
  <c r="AG53" i="2"/>
  <c r="AH53" i="2" s="1"/>
  <c r="B92" i="2"/>
  <c r="P92" i="2" s="1"/>
  <c r="Z9" i="1"/>
  <c r="B77" i="2"/>
  <c r="P77" i="2" s="1"/>
  <c r="AG50" i="7" l="1"/>
  <c r="AH50" i="7" s="1"/>
  <c r="B89" i="7"/>
  <c r="P89" i="7" s="1"/>
  <c r="AC5" i="1"/>
  <c r="AG47" i="7"/>
  <c r="AH47" i="7" s="1"/>
  <c r="B86" i="7"/>
  <c r="P86" i="7" s="1"/>
  <c r="AG47" i="2"/>
  <c r="AH47" i="2" s="1"/>
  <c r="B86" i="2"/>
  <c r="P86" i="2" s="1"/>
  <c r="AJ4" i="1"/>
  <c r="B134" i="7"/>
  <c r="P134" i="7" s="1"/>
  <c r="B134" i="2"/>
  <c r="P134" i="2" s="1"/>
  <c r="Q78" i="2"/>
  <c r="AH7" i="1"/>
  <c r="B121" i="7"/>
  <c r="P121" i="7" s="1"/>
  <c r="B121" i="2"/>
  <c r="P121" i="2" s="1"/>
  <c r="AE6" i="1"/>
  <c r="B126" i="7" s="1"/>
  <c r="P126" i="7" s="1"/>
  <c r="B110" i="2"/>
  <c r="P110" i="2" s="1"/>
  <c r="AG50" i="2"/>
  <c r="AH50" i="2" s="1"/>
  <c r="B89" i="2"/>
  <c r="P89" i="2" s="1"/>
  <c r="Y14" i="1"/>
  <c r="AC9" i="1"/>
  <c r="B107" i="7" s="1"/>
  <c r="P107" i="7" s="1"/>
  <c r="AY6" i="1"/>
  <c r="BE6" i="1" l="1"/>
  <c r="B192" i="7"/>
  <c r="P192" i="7" s="1"/>
  <c r="Q192" i="7" s="1"/>
  <c r="Q194" i="7" s="1"/>
  <c r="B192" i="2"/>
  <c r="P192" i="2" s="1"/>
  <c r="Q192" i="2" s="1"/>
  <c r="Q194" i="2" s="1"/>
  <c r="AJ7" i="1"/>
  <c r="B136" i="7"/>
  <c r="P136" i="7" s="1"/>
  <c r="B136" i="2"/>
  <c r="P136" i="2" s="1"/>
  <c r="B145" i="7"/>
  <c r="P145" i="7" s="1"/>
  <c r="AG61" i="7"/>
  <c r="AH61" i="7" s="1"/>
  <c r="AG61" i="2"/>
  <c r="AH61" i="2" s="1"/>
  <c r="B145" i="2"/>
  <c r="P145" i="2" s="1"/>
  <c r="AE5" i="1"/>
  <c r="B104" i="7"/>
  <c r="P104" i="7" s="1"/>
  <c r="B104" i="2"/>
  <c r="P104" i="2" s="1"/>
  <c r="AH6" i="1"/>
  <c r="B140" i="7" s="1"/>
  <c r="P140" i="7" s="1"/>
  <c r="B126" i="2"/>
  <c r="P126" i="2" s="1"/>
  <c r="AE9" i="1"/>
  <c r="B123" i="7" s="1"/>
  <c r="P123" i="7" s="1"/>
  <c r="B107" i="2"/>
  <c r="P107" i="2" s="1"/>
  <c r="Z11" i="1"/>
  <c r="Z10" i="1"/>
  <c r="Z8" i="1"/>
  <c r="B88" i="7" l="1"/>
  <c r="P88" i="7" s="1"/>
  <c r="AG49" i="7"/>
  <c r="AH49" i="7" s="1"/>
  <c r="B91" i="7"/>
  <c r="P91" i="7" s="1"/>
  <c r="AG52" i="7"/>
  <c r="AH52" i="7" s="1"/>
  <c r="AH5" i="1"/>
  <c r="B120" i="7"/>
  <c r="P120" i="7" s="1"/>
  <c r="B120" i="2"/>
  <c r="P120" i="2" s="1"/>
  <c r="AG51" i="7"/>
  <c r="AH51" i="7" s="1"/>
  <c r="B90" i="7"/>
  <c r="P90" i="7" s="1"/>
  <c r="AM7" i="1"/>
  <c r="B147" i="7"/>
  <c r="P147" i="7" s="1"/>
  <c r="AG63" i="7"/>
  <c r="AH63" i="7" s="1"/>
  <c r="AG63" i="2"/>
  <c r="AH63" i="2" s="1"/>
  <c r="B147" i="2"/>
  <c r="P147" i="2" s="1"/>
  <c r="AJ6" i="1"/>
  <c r="B140" i="2"/>
  <c r="P140" i="2" s="1"/>
  <c r="AC8" i="1"/>
  <c r="B106" i="7" s="1"/>
  <c r="P106" i="7" s="1"/>
  <c r="B88" i="2"/>
  <c r="P88" i="2" s="1"/>
  <c r="AG49" i="2"/>
  <c r="AH49" i="2" s="1"/>
  <c r="AC10" i="1"/>
  <c r="B108" i="7" s="1"/>
  <c r="P108" i="7" s="1"/>
  <c r="B90" i="2"/>
  <c r="P90" i="2" s="1"/>
  <c r="AG51" i="2"/>
  <c r="AH51" i="2" s="1"/>
  <c r="AC11" i="1"/>
  <c r="B109" i="7" s="1"/>
  <c r="P109" i="7" s="1"/>
  <c r="AG52" i="2"/>
  <c r="AH52" i="2" s="1"/>
  <c r="B91" i="2"/>
  <c r="P91" i="2" s="1"/>
  <c r="AH9" i="1"/>
  <c r="B138" i="7" s="1"/>
  <c r="P138" i="7" s="1"/>
  <c r="B123" i="2"/>
  <c r="P123" i="2" s="1"/>
  <c r="B135" i="7" l="1"/>
  <c r="P135" i="7" s="1"/>
  <c r="B135" i="2"/>
  <c r="P135" i="2" s="1"/>
  <c r="AO7" i="1"/>
  <c r="B160" i="7"/>
  <c r="P160" i="7" s="1"/>
  <c r="B160" i="2"/>
  <c r="P160" i="2" s="1"/>
  <c r="AM6" i="1"/>
  <c r="B164" i="7" s="1"/>
  <c r="P164" i="7" s="1"/>
  <c r="B151" i="7"/>
  <c r="P151" i="7" s="1"/>
  <c r="AG67" i="7"/>
  <c r="AH67" i="7" s="1"/>
  <c r="AI53" i="7"/>
  <c r="Q91" i="7"/>
  <c r="Q93" i="7" s="1"/>
  <c r="AG67" i="2"/>
  <c r="AH67" i="2" s="1"/>
  <c r="B151" i="2"/>
  <c r="P151" i="2" s="1"/>
  <c r="B108" i="2"/>
  <c r="P108" i="2" s="1"/>
  <c r="AD14" i="1"/>
  <c r="B109" i="2"/>
  <c r="P109" i="2" s="1"/>
  <c r="AI53" i="2"/>
  <c r="AI14" i="1"/>
  <c r="B138" i="2"/>
  <c r="P138" i="2" s="1"/>
  <c r="Q91" i="2"/>
  <c r="Q93" i="2" s="1"/>
  <c r="AE8" i="1"/>
  <c r="B122" i="7" s="1"/>
  <c r="P122" i="7" s="1"/>
  <c r="B106" i="2"/>
  <c r="P106" i="2" s="1"/>
  <c r="B171" i="7" l="1"/>
  <c r="P171" i="7" s="1"/>
  <c r="B171" i="2"/>
  <c r="P171" i="2" s="1"/>
  <c r="AO6" i="1"/>
  <c r="B164" i="2"/>
  <c r="P164" i="2" s="1"/>
  <c r="AH8" i="1"/>
  <c r="B137" i="7" s="1"/>
  <c r="P137" i="7" s="1"/>
  <c r="B122" i="2"/>
  <c r="P122" i="2" s="1"/>
  <c r="AJ5" i="1"/>
  <c r="AJ9" i="1"/>
  <c r="AC12" i="1"/>
  <c r="AE11" i="1"/>
  <c r="AE10" i="1"/>
  <c r="B124" i="7" s="1"/>
  <c r="P124" i="7" s="1"/>
  <c r="B149" i="7" l="1"/>
  <c r="P149" i="7" s="1"/>
  <c r="AG65" i="7"/>
  <c r="AH65" i="7" s="1"/>
  <c r="B125" i="2"/>
  <c r="P125" i="2" s="1"/>
  <c r="B125" i="7"/>
  <c r="P125" i="7" s="1"/>
  <c r="Q126" i="7" s="1"/>
  <c r="B112" i="2"/>
  <c r="P112" i="2" s="1"/>
  <c r="Q112" i="2" s="1"/>
  <c r="B112" i="7"/>
  <c r="P112" i="7" s="1"/>
  <c r="Q112" i="7" s="1"/>
  <c r="AG62" i="7"/>
  <c r="AH62" i="7" s="1"/>
  <c r="B146" i="7"/>
  <c r="P146" i="7" s="1"/>
  <c r="B174" i="2"/>
  <c r="P174" i="2" s="1"/>
  <c r="B174" i="7"/>
  <c r="P174" i="7" s="1"/>
  <c r="AM9" i="1"/>
  <c r="AG65" i="2"/>
  <c r="AH65" i="2" s="1"/>
  <c r="B149" i="2"/>
  <c r="P149" i="2" s="1"/>
  <c r="AH10" i="1"/>
  <c r="B139" i="7" s="1"/>
  <c r="P139" i="7" s="1"/>
  <c r="Q140" i="7" s="1"/>
  <c r="B124" i="2"/>
  <c r="P124" i="2" s="1"/>
  <c r="AM5" i="1"/>
  <c r="B159" i="7" s="1"/>
  <c r="P159" i="7" s="1"/>
  <c r="B146" i="2"/>
  <c r="P146" i="2" s="1"/>
  <c r="AG62" i="2"/>
  <c r="AH62" i="2" s="1"/>
  <c r="AJ8" i="1"/>
  <c r="B137" i="2"/>
  <c r="P137" i="2" s="1"/>
  <c r="Q126" i="2" l="1"/>
  <c r="Q127" i="2" s="1"/>
  <c r="Q127" i="7"/>
  <c r="B162" i="2"/>
  <c r="P162" i="2" s="1"/>
  <c r="B162" i="7"/>
  <c r="P162" i="7" s="1"/>
  <c r="B148" i="7"/>
  <c r="P148" i="7" s="1"/>
  <c r="AG64" i="7"/>
  <c r="AH64" i="7" s="1"/>
  <c r="AO5" i="1"/>
  <c r="B159" i="2"/>
  <c r="P159" i="2" s="1"/>
  <c r="AJ10" i="1"/>
  <c r="B139" i="2"/>
  <c r="P139" i="2" s="1"/>
  <c r="Q140" i="2" s="1"/>
  <c r="AM8" i="1"/>
  <c r="B161" i="7" s="1"/>
  <c r="P161" i="7" s="1"/>
  <c r="B148" i="2"/>
  <c r="P148" i="2" s="1"/>
  <c r="AG64" i="2"/>
  <c r="AH64" i="2" s="1"/>
  <c r="AG66" i="7" l="1"/>
  <c r="AH66" i="7" s="1"/>
  <c r="B150" i="7"/>
  <c r="P150" i="7" s="1"/>
  <c r="Q151" i="7" s="1"/>
  <c r="Q152" i="7" s="1"/>
  <c r="B170" i="2"/>
  <c r="P170" i="2" s="1"/>
  <c r="B170" i="7"/>
  <c r="P170" i="7" s="1"/>
  <c r="AM10" i="1"/>
  <c r="B163" i="7" s="1"/>
  <c r="P163" i="7" s="1"/>
  <c r="Q164" i="7" s="1"/>
  <c r="AG66" i="2"/>
  <c r="AH66" i="2" s="1"/>
  <c r="B150" i="2"/>
  <c r="P150" i="2" s="1"/>
  <c r="Q151" i="2" s="1"/>
  <c r="Q152" i="2" s="1"/>
  <c r="AO8" i="1"/>
  <c r="B172" i="7" s="1"/>
  <c r="P172" i="7" s="1"/>
  <c r="B161" i="2"/>
  <c r="P161" i="2" s="1"/>
  <c r="AR5" i="1" l="1"/>
  <c r="BB5" i="1" s="1"/>
  <c r="BE5" i="1" s="1"/>
  <c r="B172" i="2"/>
  <c r="P172" i="2" s="1"/>
  <c r="AO9" i="1"/>
  <c r="B163" i="2"/>
  <c r="P163" i="2" s="1"/>
  <c r="Q164" i="2" s="1"/>
  <c r="B173" i="2" l="1"/>
  <c r="B173" i="7"/>
  <c r="BB9" i="1"/>
  <c r="U66" i="2" l="1"/>
  <c r="AI67" i="2" s="1"/>
  <c r="V83" i="2" s="1"/>
  <c r="P173" i="2"/>
  <c r="Q175" i="2" s="1"/>
  <c r="Q176" i="2" s="1"/>
  <c r="U66" i="7"/>
  <c r="AI67" i="7" s="1"/>
  <c r="V83" i="7" s="1"/>
  <c r="P173" i="7"/>
  <c r="Q175" i="7" s="1"/>
  <c r="Q176" i="7" s="1"/>
  <c r="BE10" i="1"/>
  <c r="BB11" i="1" s="1"/>
  <c r="BE8" i="1"/>
  <c r="Q75" i="3"/>
  <c r="S75" i="3"/>
  <c r="R75" i="3"/>
  <c r="BB10" i="1" l="1"/>
  <c r="S78" i="3"/>
  <c r="S81" i="3"/>
  <c r="V81" i="3" s="1"/>
</calcChain>
</file>

<file path=xl/sharedStrings.xml><?xml version="1.0" encoding="utf-8"?>
<sst xmlns="http://schemas.openxmlformats.org/spreadsheetml/2006/main" count="1578" uniqueCount="192">
  <si>
    <t>NATURAL GAS</t>
  </si>
  <si>
    <t xml:space="preserve">              DESULPHARISER</t>
  </si>
  <si>
    <t xml:space="preserve">                   PRIMARY REFORMER</t>
  </si>
  <si>
    <t>AIR</t>
  </si>
  <si>
    <t>SECONDARY REFORMER</t>
  </si>
  <si>
    <t>WATER GAS SHIFT REACTION</t>
  </si>
  <si>
    <t xml:space="preserve">CO2 REMOVAL </t>
  </si>
  <si>
    <t xml:space="preserve">                  OXIDATION</t>
  </si>
  <si>
    <t>PREESURE SWING ADSORPTION</t>
  </si>
  <si>
    <t>HB COMPRESSOR</t>
  </si>
  <si>
    <t>REACTOR</t>
  </si>
  <si>
    <t>RECYCLE</t>
  </si>
  <si>
    <t>PURGE</t>
  </si>
  <si>
    <t>PRODUCT</t>
  </si>
  <si>
    <t>INPUT</t>
  </si>
  <si>
    <t>OUTPUT</t>
  </si>
  <si>
    <t>INLET</t>
  </si>
  <si>
    <t>OUTLET</t>
  </si>
  <si>
    <t>CH4</t>
  </si>
  <si>
    <t>H2O</t>
  </si>
  <si>
    <t>N2</t>
  </si>
  <si>
    <t>NH3</t>
  </si>
  <si>
    <t>H2S</t>
  </si>
  <si>
    <t>ZnS</t>
  </si>
  <si>
    <t>CO</t>
  </si>
  <si>
    <t>O2</t>
  </si>
  <si>
    <t>H2</t>
  </si>
  <si>
    <t>ZnO</t>
  </si>
  <si>
    <t>INERT</t>
  </si>
  <si>
    <t>CO2</t>
  </si>
  <si>
    <t>inert percentage</t>
  </si>
  <si>
    <t>KHCO3</t>
  </si>
  <si>
    <t>e</t>
  </si>
  <si>
    <t>K2CO3</t>
  </si>
  <si>
    <t>`</t>
  </si>
  <si>
    <t>DESULPURISATION</t>
  </si>
  <si>
    <t>PREHEATER</t>
  </si>
  <si>
    <t>(After De Sulpurisation)</t>
  </si>
  <si>
    <t>c</t>
  </si>
  <si>
    <t>K</t>
  </si>
  <si>
    <t xml:space="preserve">NATURAL GAS </t>
  </si>
  <si>
    <t>DESULPHARISATION</t>
  </si>
  <si>
    <t>Tin</t>
  </si>
  <si>
    <t>Tout</t>
  </si>
  <si>
    <t>T</t>
  </si>
  <si>
    <t>T^2</t>
  </si>
  <si>
    <t>T^-2</t>
  </si>
  <si>
    <t>R</t>
  </si>
  <si>
    <t>delHr</t>
  </si>
  <si>
    <t>A</t>
  </si>
  <si>
    <t>B</t>
  </si>
  <si>
    <t>C</t>
  </si>
  <si>
    <t>D</t>
  </si>
  <si>
    <t>Cp</t>
  </si>
  <si>
    <t>DH</t>
  </si>
  <si>
    <t>(Before Secondry Reformer)</t>
  </si>
  <si>
    <t>rT</t>
  </si>
  <si>
    <t>PRIMARY REFORMER</t>
  </si>
  <si>
    <t>INPUTS</t>
  </si>
  <si>
    <t>del Hr</t>
  </si>
  <si>
    <t>COOLER</t>
  </si>
  <si>
    <t>(Before Water gas shift reaction)</t>
  </si>
  <si>
    <t>Steam</t>
  </si>
  <si>
    <t>OUTPUTS</t>
  </si>
  <si>
    <t>PR T</t>
  </si>
  <si>
    <t>(Before CO2 removal)</t>
  </si>
  <si>
    <t>SECONDRYREFORMER</t>
  </si>
  <si>
    <t>PH</t>
  </si>
  <si>
    <t>(Before Pressure swing adsorption)</t>
  </si>
  <si>
    <t>SR T</t>
  </si>
  <si>
    <t>CO2R</t>
  </si>
  <si>
    <t>WATER GAS SHIFT</t>
  </si>
  <si>
    <t>(After Reactor)</t>
  </si>
  <si>
    <t>WGS T</t>
  </si>
  <si>
    <t>total energy change</t>
  </si>
  <si>
    <t>CO2 REMOVAL</t>
  </si>
  <si>
    <t>OXIDATION</t>
  </si>
  <si>
    <t>dh</t>
  </si>
  <si>
    <t>pressure adsorption swing</t>
  </si>
  <si>
    <t>H20</t>
  </si>
  <si>
    <t>(NATURAL GAS-DESULFURISATION)</t>
  </si>
  <si>
    <t>AIR - COMPRESSOR</t>
  </si>
  <si>
    <t>Natural gas</t>
  </si>
  <si>
    <t xml:space="preserve">air  </t>
  </si>
  <si>
    <t>P</t>
  </si>
  <si>
    <t>KMOL/DAY</t>
  </si>
  <si>
    <t>mol/sec</t>
  </si>
  <si>
    <t>density</t>
  </si>
  <si>
    <t>viscosity</t>
  </si>
  <si>
    <t>mole fraction</t>
  </si>
  <si>
    <t>flow rate</t>
  </si>
  <si>
    <t>carbon steel</t>
  </si>
  <si>
    <t>mixture</t>
  </si>
  <si>
    <t>NPS-2</t>
  </si>
  <si>
    <t>ID(mm)</t>
  </si>
  <si>
    <t>velocity</t>
  </si>
  <si>
    <t>Re</t>
  </si>
  <si>
    <t>thickness(mm)</t>
  </si>
  <si>
    <t>Area</t>
  </si>
  <si>
    <t>f</t>
  </si>
  <si>
    <t>OD</t>
  </si>
  <si>
    <t>diameter(m)</t>
  </si>
  <si>
    <t>length</t>
  </si>
  <si>
    <t>f  friction factor</t>
  </si>
  <si>
    <t>diameter(mm)</t>
  </si>
  <si>
    <t>del P</t>
  </si>
  <si>
    <t>del P(bar)</t>
  </si>
  <si>
    <t>diameter(inch)</t>
  </si>
  <si>
    <t>botttom to bottom</t>
  </si>
  <si>
    <t>top to side</t>
  </si>
  <si>
    <t>length(m)</t>
  </si>
  <si>
    <t>DESULFURISATION-PREHEATER</t>
  </si>
  <si>
    <t>COMPRESSOR-PREHEATER</t>
  </si>
  <si>
    <t>DESULFURISATION</t>
  </si>
  <si>
    <t xml:space="preserve">compressor </t>
  </si>
  <si>
    <t>stainless steel</t>
  </si>
  <si>
    <t>DN80</t>
  </si>
  <si>
    <t>side to bottom</t>
  </si>
  <si>
    <t>PREHEATER-PRIMARY REFORMER</t>
  </si>
  <si>
    <t>STEAM SUPPLY-PRIMARY REFORMER</t>
  </si>
  <si>
    <t xml:space="preserve">prerheater </t>
  </si>
  <si>
    <t xml:space="preserve">steam supply </t>
  </si>
  <si>
    <t>H2)</t>
  </si>
  <si>
    <t>SCH 80</t>
  </si>
  <si>
    <t>SCH 40,NPS 3</t>
  </si>
  <si>
    <t>f   friction factor</t>
  </si>
  <si>
    <t>f friction factor</t>
  </si>
  <si>
    <t>top to top</t>
  </si>
  <si>
    <t>PRIMARY REFORMER-SECONDARY REFORMER</t>
  </si>
  <si>
    <t>PREHEATER-SECONDARY REFORMER</t>
  </si>
  <si>
    <t xml:space="preserve">primary reformer </t>
  </si>
  <si>
    <t xml:space="preserve">preheater </t>
  </si>
  <si>
    <t xml:space="preserve">H2 </t>
  </si>
  <si>
    <t>ASTM A335 P91(Cr-Mo alloy)</t>
  </si>
  <si>
    <t>ASTM A335 P22(2.25Cr- 1Mo alloy)</t>
  </si>
  <si>
    <t>SCH 80 NPS 10</t>
  </si>
  <si>
    <t>SCH 40 NPS 4</t>
  </si>
  <si>
    <t>top to side(below the burner)</t>
  </si>
  <si>
    <t>SECONDARY REFORMER-WASTE HEAT BOILER</t>
  </si>
  <si>
    <t>WASTE HEAT BOILER - COOLER</t>
  </si>
  <si>
    <t>secondary reformer</t>
  </si>
  <si>
    <t xml:space="preserve">waste heat boiler </t>
  </si>
  <si>
    <t>mole fracton</t>
  </si>
  <si>
    <t>I</t>
  </si>
  <si>
    <t>ASTM A213 T22(Cr-Mo alloy)</t>
  </si>
  <si>
    <t>ASTM A335 Grade P22(cr-mo alloy)</t>
  </si>
  <si>
    <t>SCH 40 NPS 7</t>
  </si>
  <si>
    <t>area</t>
  </si>
  <si>
    <t>COOLER-WATER GAS SHIFT REACTION</t>
  </si>
  <si>
    <t>WATER GAS SHIFT REACTION-COOLER</t>
  </si>
  <si>
    <t xml:space="preserve">mixture </t>
  </si>
  <si>
    <t xml:space="preserve"> ASTM A335 Grade P11</t>
  </si>
  <si>
    <t xml:space="preserve">flow rate </t>
  </si>
  <si>
    <t>NPS 8</t>
  </si>
  <si>
    <t>SCH 80 NPS 8</t>
  </si>
  <si>
    <t>COOLER - CO2 REMOVAL</t>
  </si>
  <si>
    <t>CO2 REMOVAL-OXIDATION</t>
  </si>
  <si>
    <t xml:space="preserve">COOLER </t>
  </si>
  <si>
    <t>co2 REMOVAL</t>
  </si>
  <si>
    <t>ASTM A335 GRADE P11(1.25Cr-0.5Mo alloy STEEL)</t>
  </si>
  <si>
    <t>SCH 80 NPS 6</t>
  </si>
  <si>
    <t>SCH 80 NPS 5</t>
  </si>
  <si>
    <t>OXIDATION - COMPRESSOR</t>
  </si>
  <si>
    <t xml:space="preserve"> COMPRESSOR-COOLER</t>
  </si>
  <si>
    <t>COMPRESSOR</t>
  </si>
  <si>
    <t>ASTM A335 P22(2.25Cr-Mo alloy)</t>
  </si>
  <si>
    <t>SCH 80 NPS 4</t>
  </si>
  <si>
    <t>SCH 40 NPS 12</t>
  </si>
  <si>
    <t>COOLER-PRESSURE SWING ADSORPTION</t>
  </si>
  <si>
    <t>PRESSURE SWING ADSORPTION-SEPERATOR</t>
  </si>
  <si>
    <t>PRESSURE SWING ADSORPTION</t>
  </si>
  <si>
    <t>SEPERATOR</t>
  </si>
  <si>
    <t>SEPARETOR-SEPARETOR</t>
  </si>
  <si>
    <t>SEPARETOR-HB COMPRESSOR</t>
  </si>
  <si>
    <t>SEPARETOR</t>
  </si>
  <si>
    <t>ASTM A335 P11(1.25Cr-Mo alloy)</t>
  </si>
  <si>
    <t>ASTM A335 P22(1.25Cr-0.5Mo alloy)</t>
  </si>
  <si>
    <t>SCH 40 NPS 3.5</t>
  </si>
  <si>
    <t>HB CONVERTER - FLOW CONTROL</t>
  </si>
  <si>
    <t>REACTOR-COOLER</t>
  </si>
  <si>
    <t>FLOW CONTROL</t>
  </si>
  <si>
    <t>SCH 40 NPS 2.5</t>
  </si>
  <si>
    <t>FLOW CONTROL-REACTOR</t>
  </si>
  <si>
    <t>COOLER-RECYCLE</t>
  </si>
  <si>
    <t>SCH 40 NPS 5</t>
  </si>
  <si>
    <t>SCH 40 NPS 6</t>
  </si>
  <si>
    <t>SEPARATOR-ACTIVATED CARBON</t>
  </si>
  <si>
    <t>COOLER-PURGE</t>
  </si>
  <si>
    <t>ACTIVATED CARBON</t>
  </si>
  <si>
    <t>SCH 40 NPS 2</t>
  </si>
  <si>
    <t>SCH 40 NPS 1</t>
  </si>
  <si>
    <t>SCH 80 NPS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</si>
</sst>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family val="2"/>
    </font>
    <font>
      <b/>
      <u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242424"/>
      <name val="Aptos Narrow"/>
      <family val="2"/>
    </font>
    <font>
      <b/>
      <sz val="11"/>
      <color rgb="FF242424"/>
      <name val="Aptos Narrow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Google Sans"/>
      <charset val="1"/>
    </font>
    <font>
      <sz val="11"/>
      <color rgb="FF000000"/>
      <name val="Aptos Narrow"/>
      <family val="2"/>
      <scheme val="minor"/>
    </font>
    <font>
      <sz val="8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249977111117893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9" fontId="0" fillId="0" borderId="0" xfId="0" applyNumberFormat="1"/>
    <xf numFmtId="0" fontId="0" fillId="2" borderId="0" xfId="0" applyFill="1"/>
    <xf numFmtId="11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  <xf numFmtId="0" fontId="1" fillId="6" borderId="0" xfId="0" applyFont="1" applyFill="1"/>
    <xf numFmtId="0" fontId="1" fillId="6" borderId="0" xfId="0" applyFont="1" applyFill="1" applyAlignment="1">
      <alignment wrapText="1"/>
    </xf>
    <xf numFmtId="0" fontId="0" fillId="0" borderId="1" xfId="0" applyBorder="1"/>
    <xf numFmtId="0" fontId="1" fillId="3" borderId="0" xfId="0" applyFont="1" applyFill="1"/>
    <xf numFmtId="0" fontId="3" fillId="4" borderId="0" xfId="0" applyFont="1" applyFill="1"/>
    <xf numFmtId="0" fontId="4" fillId="4" borderId="0" xfId="0" applyFont="1" applyFill="1"/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7" borderId="2" xfId="0" applyFill="1" applyBorder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 wrapText="1"/>
    </xf>
    <xf numFmtId="0" fontId="10" fillId="0" borderId="0" xfId="0" applyFont="1"/>
    <xf numFmtId="0" fontId="10" fillId="10" borderId="0" xfId="0" applyFont="1" applyFill="1"/>
    <xf numFmtId="0" fontId="0" fillId="15" borderId="0" xfId="0" applyFill="1"/>
    <xf numFmtId="0" fontId="0" fillId="1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E50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23DB3-EB0F-4EDD-9059-A4E479C11759}">
  <dimension ref="A2:BG15"/>
  <sheetViews>
    <sheetView topLeftCell="AW1" zoomScale="96" zoomScaleNormal="96" workbookViewId="0">
      <selection activeCell="G13" sqref="G13"/>
    </sheetView>
  </sheetViews>
  <sheetFormatPr defaultRowHeight="14.4"/>
  <cols>
    <col min="20" max="20" width="9.33203125" bestFit="1" customWidth="1"/>
    <col min="44" max="44" width="16.44140625" bestFit="1" customWidth="1"/>
    <col min="56" max="56" width="14.6640625" bestFit="1" customWidth="1"/>
  </cols>
  <sheetData>
    <row r="2" spans="1:59">
      <c r="A2" t="s">
        <v>0</v>
      </c>
      <c r="C2">
        <f>C4/0.97</f>
        <v>1430.7731958762886</v>
      </c>
      <c r="E2" t="s">
        <v>1</v>
      </c>
      <c r="J2" t="s">
        <v>2</v>
      </c>
      <c r="M2">
        <f>0.7</f>
        <v>0.7</v>
      </c>
      <c r="O2" t="s">
        <v>3</v>
      </c>
      <c r="P2">
        <f>P4/0.78</f>
        <v>2138.5641025641025</v>
      </c>
      <c r="S2" t="s">
        <v>4</v>
      </c>
      <c r="U2">
        <v>0.95</v>
      </c>
      <c r="X2" t="s">
        <v>5</v>
      </c>
      <c r="AA2">
        <f>0.95</f>
        <v>0.95</v>
      </c>
      <c r="AC2" t="s">
        <v>6</v>
      </c>
      <c r="AG2" t="s">
        <v>7</v>
      </c>
      <c r="AM2" t="s">
        <v>8</v>
      </c>
      <c r="AQ2" t="s">
        <v>9</v>
      </c>
      <c r="AV2" t="s">
        <v>10</v>
      </c>
      <c r="BA2" t="s">
        <v>11</v>
      </c>
      <c r="BB2">
        <f>4.5</f>
        <v>4.5</v>
      </c>
      <c r="BD2" t="s">
        <v>12</v>
      </c>
      <c r="BG2" t="s">
        <v>13</v>
      </c>
    </row>
    <row r="3" spans="1:59">
      <c r="E3" t="s">
        <v>14</v>
      </c>
      <c r="G3" t="s">
        <v>15</v>
      </c>
      <c r="J3" t="s">
        <v>14</v>
      </c>
      <c r="L3" t="s">
        <v>15</v>
      </c>
      <c r="R3" t="s">
        <v>14</v>
      </c>
      <c r="T3" t="s">
        <v>15</v>
      </c>
      <c r="W3" t="s">
        <v>14</v>
      </c>
      <c r="Y3" t="s">
        <v>15</v>
      </c>
      <c r="AB3" t="s">
        <v>16</v>
      </c>
      <c r="AD3" t="s">
        <v>17</v>
      </c>
      <c r="AG3" t="s">
        <v>16</v>
      </c>
      <c r="AI3" t="s">
        <v>17</v>
      </c>
      <c r="AL3" t="s">
        <v>16</v>
      </c>
      <c r="AN3" t="s">
        <v>17</v>
      </c>
      <c r="AQ3" t="s">
        <v>16</v>
      </c>
      <c r="AS3" t="s">
        <v>17</v>
      </c>
      <c r="AV3" t="s">
        <v>16</v>
      </c>
      <c r="AX3" t="s">
        <v>17</v>
      </c>
    </row>
    <row r="4" spans="1:59">
      <c r="B4" t="s">
        <v>18</v>
      </c>
      <c r="C4">
        <f>1387.85</f>
        <v>1387.85</v>
      </c>
      <c r="E4" t="s">
        <v>18</v>
      </c>
      <c r="F4">
        <f>C4</f>
        <v>1387.85</v>
      </c>
      <c r="G4" t="s">
        <v>19</v>
      </c>
      <c r="H4">
        <f>F5</f>
        <v>42.923195876288659</v>
      </c>
      <c r="J4" t="s">
        <v>19</v>
      </c>
      <c r="K4">
        <f>3*H6</f>
        <v>4163.5499999999993</v>
      </c>
      <c r="L4" t="s">
        <v>18</v>
      </c>
      <c r="M4">
        <f>416.35</f>
        <v>416.35</v>
      </c>
      <c r="O4" t="s">
        <v>20</v>
      </c>
      <c r="P4">
        <f>AR4</f>
        <v>1668.08</v>
      </c>
      <c r="R4" t="s">
        <v>20</v>
      </c>
      <c r="S4">
        <f>P4</f>
        <v>1668.08</v>
      </c>
      <c r="T4" t="s">
        <v>20</v>
      </c>
      <c r="U4">
        <f>S4</f>
        <v>1668.08</v>
      </c>
      <c r="W4" t="s">
        <v>20</v>
      </c>
      <c r="X4">
        <f t="shared" ref="X4:X10" si="0">U4</f>
        <v>1668.08</v>
      </c>
      <c r="Y4" t="s">
        <v>20</v>
      </c>
      <c r="Z4">
        <f>X4</f>
        <v>1668.08</v>
      </c>
      <c r="AB4" t="s">
        <v>20</v>
      </c>
      <c r="AC4">
        <f t="shared" ref="AC4:AC11" si="1">Z4</f>
        <v>1668.08</v>
      </c>
      <c r="AD4" t="s">
        <v>20</v>
      </c>
      <c r="AE4">
        <f t="shared" ref="AE4:AE9" si="2">AC4</f>
        <v>1668.08</v>
      </c>
      <c r="AG4" t="s">
        <v>20</v>
      </c>
      <c r="AH4">
        <f t="shared" ref="AH4:AH10" si="3">AE4</f>
        <v>1668.08</v>
      </c>
      <c r="AI4" t="s">
        <v>20</v>
      </c>
      <c r="AJ4">
        <f>AH4</f>
        <v>1668.08</v>
      </c>
      <c r="AL4" t="s">
        <v>20</v>
      </c>
      <c r="AM4">
        <f>AR4</f>
        <v>1668.08</v>
      </c>
      <c r="AN4" t="s">
        <v>20</v>
      </c>
      <c r="AO4">
        <f>AR4</f>
        <v>1668.08</v>
      </c>
      <c r="AQ4" t="s">
        <v>20</v>
      </c>
      <c r="AR4">
        <f>1668.08</f>
        <v>1668.08</v>
      </c>
      <c r="AS4" t="s">
        <v>20</v>
      </c>
      <c r="AT4">
        <f>AW4</f>
        <v>9191.1764705882342</v>
      </c>
      <c r="AV4" t="s">
        <v>20</v>
      </c>
      <c r="AW4">
        <f>AY7/(2*0.16)</f>
        <v>9191.1764705882342</v>
      </c>
      <c r="AX4" t="s">
        <v>20</v>
      </c>
      <c r="AY4">
        <f>0.84*AW4</f>
        <v>7720.5882352941162</v>
      </c>
      <c r="BA4" t="s">
        <v>20</v>
      </c>
      <c r="BB4">
        <f>BB2*AR4</f>
        <v>7506.36</v>
      </c>
      <c r="BD4" t="s">
        <v>20</v>
      </c>
      <c r="BE4">
        <f>AY4-BB4</f>
        <v>214.22823529411653</v>
      </c>
      <c r="BG4" t="s">
        <v>21</v>
      </c>
    </row>
    <row r="5" spans="1:59">
      <c r="B5" t="s">
        <v>22</v>
      </c>
      <c r="C5">
        <f>C2*0.03</f>
        <v>42.923195876288659</v>
      </c>
      <c r="E5" t="s">
        <v>22</v>
      </c>
      <c r="F5">
        <f>C5</f>
        <v>42.923195876288659</v>
      </c>
      <c r="G5" t="s">
        <v>23</v>
      </c>
      <c r="H5">
        <f>F6</f>
        <v>42.923195876288659</v>
      </c>
      <c r="J5" t="s">
        <v>18</v>
      </c>
      <c r="K5">
        <f>H6</f>
        <v>1387.85</v>
      </c>
      <c r="L5" t="s">
        <v>24</v>
      </c>
      <c r="M5">
        <f>L13</f>
        <v>971.49999999999989</v>
      </c>
      <c r="O5" t="s">
        <v>25</v>
      </c>
      <c r="P5">
        <f>P2*0.21</f>
        <v>449.09846153846149</v>
      </c>
      <c r="R5" t="s">
        <v>25</v>
      </c>
      <c r="S5">
        <f>P5</f>
        <v>449.09846153846149</v>
      </c>
      <c r="T5" t="s">
        <v>25</v>
      </c>
      <c r="U5">
        <f>S5-(0.5*T14)</f>
        <v>251.33221153846148</v>
      </c>
      <c r="W5" t="s">
        <v>25</v>
      </c>
      <c r="X5">
        <f t="shared" si="0"/>
        <v>251.33221153846148</v>
      </c>
      <c r="Y5" t="s">
        <v>25</v>
      </c>
      <c r="Z5">
        <f>X5</f>
        <v>251.33221153846148</v>
      </c>
      <c r="AB5" t="s">
        <v>25</v>
      </c>
      <c r="AC5">
        <f t="shared" si="1"/>
        <v>251.33221153846148</v>
      </c>
      <c r="AD5" t="s">
        <v>25</v>
      </c>
      <c r="AE5">
        <f t="shared" si="2"/>
        <v>251.33221153846148</v>
      </c>
      <c r="AG5" t="s">
        <v>25</v>
      </c>
      <c r="AH5">
        <f t="shared" si="3"/>
        <v>251.33221153846148</v>
      </c>
      <c r="AI5" t="s">
        <v>25</v>
      </c>
      <c r="AJ5">
        <f>AH5-AI14</f>
        <v>217.15639903846144</v>
      </c>
      <c r="AL5" t="s">
        <v>25</v>
      </c>
      <c r="AM5">
        <f t="shared" ref="AM5:AM10" si="4">AJ5</f>
        <v>217.15639903846144</v>
      </c>
      <c r="AN5" t="s">
        <v>25</v>
      </c>
      <c r="AO5">
        <f>AM5</f>
        <v>217.15639903846144</v>
      </c>
      <c r="AQ5" t="s">
        <v>26</v>
      </c>
      <c r="AR5">
        <f>AO8</f>
        <v>5004.2458749999996</v>
      </c>
      <c r="AS5" t="s">
        <v>26</v>
      </c>
      <c r="AT5">
        <f>AW5</f>
        <v>27573.529411764703</v>
      </c>
      <c r="AV5" t="s">
        <v>26</v>
      </c>
      <c r="AW5">
        <f>3*AW4</f>
        <v>27573.529411764703</v>
      </c>
      <c r="AX5" t="s">
        <v>26</v>
      </c>
      <c r="AY5">
        <f>AW5-3*AX11</f>
        <v>23161.76470588235</v>
      </c>
      <c r="BA5" t="s">
        <v>26</v>
      </c>
      <c r="BB5">
        <f>4.5*AR5</f>
        <v>22519.106437499999</v>
      </c>
      <c r="BD5" t="s">
        <v>26</v>
      </c>
      <c r="BE5">
        <f>AY5-BB5</f>
        <v>642.6582683823508</v>
      </c>
      <c r="BG5" s="2">
        <f>((50*1000)/17)</f>
        <v>2941.1764705882351</v>
      </c>
    </row>
    <row r="6" spans="1:59">
      <c r="E6" t="s">
        <v>27</v>
      </c>
      <c r="F6">
        <f>C5</f>
        <v>42.923195876288659</v>
      </c>
      <c r="G6" t="s">
        <v>18</v>
      </c>
      <c r="H6">
        <f>F4</f>
        <v>1387.85</v>
      </c>
      <c r="L6" t="s">
        <v>26</v>
      </c>
      <c r="M6">
        <f>3*L13</f>
        <v>2914.4999999999995</v>
      </c>
      <c r="O6" t="s">
        <v>28</v>
      </c>
      <c r="P6">
        <f>AR6</f>
        <v>19.579999999999998</v>
      </c>
      <c r="R6" t="s">
        <v>28</v>
      </c>
      <c r="S6">
        <f>P6</f>
        <v>19.579999999999998</v>
      </c>
      <c r="T6" t="s">
        <v>28</v>
      </c>
      <c r="U6">
        <f>S6</f>
        <v>19.579999999999998</v>
      </c>
      <c r="W6" t="s">
        <v>28</v>
      </c>
      <c r="X6">
        <f t="shared" si="0"/>
        <v>19.579999999999998</v>
      </c>
      <c r="Y6" t="s">
        <v>28</v>
      </c>
      <c r="Z6">
        <f>X6</f>
        <v>19.579999999999998</v>
      </c>
      <c r="AB6" t="s">
        <v>28</v>
      </c>
      <c r="AC6">
        <f t="shared" si="1"/>
        <v>19.579999999999998</v>
      </c>
      <c r="AD6" t="s">
        <v>28</v>
      </c>
      <c r="AE6">
        <f t="shared" si="2"/>
        <v>19.579999999999998</v>
      </c>
      <c r="AG6" t="s">
        <v>28</v>
      </c>
      <c r="AH6">
        <f t="shared" si="3"/>
        <v>19.579999999999998</v>
      </c>
      <c r="AI6" t="s">
        <v>28</v>
      </c>
      <c r="AJ6">
        <f>AH6</f>
        <v>19.579999999999998</v>
      </c>
      <c r="AL6" t="s">
        <v>28</v>
      </c>
      <c r="AM6">
        <f>AJ6</f>
        <v>19.579999999999998</v>
      </c>
      <c r="AN6" t="s">
        <v>28</v>
      </c>
      <c r="AO6">
        <f>AM6</f>
        <v>19.579999999999998</v>
      </c>
      <c r="AQ6" t="s">
        <v>28</v>
      </c>
      <c r="AR6">
        <f>19.58</f>
        <v>19.579999999999998</v>
      </c>
      <c r="AS6" t="s">
        <v>28</v>
      </c>
      <c r="AT6">
        <f>AR6+BB6</f>
        <v>107.68999999999998</v>
      </c>
      <c r="AV6" t="s">
        <v>28</v>
      </c>
      <c r="AW6">
        <f>AT6</f>
        <v>107.68999999999998</v>
      </c>
      <c r="AX6" t="s">
        <v>28</v>
      </c>
      <c r="AY6">
        <f>AW6</f>
        <v>107.68999999999998</v>
      </c>
      <c r="BA6" t="s">
        <v>28</v>
      </c>
      <c r="BB6">
        <f>4.5*AR6</f>
        <v>88.109999999999985</v>
      </c>
      <c r="BD6" t="s">
        <v>28</v>
      </c>
      <c r="BE6">
        <f t="shared" ref="BE6" si="5">AY6-BB6</f>
        <v>19.579999999999998</v>
      </c>
    </row>
    <row r="7" spans="1:59">
      <c r="L7" t="s">
        <v>19</v>
      </c>
      <c r="M7">
        <f>K4-L13</f>
        <v>3192.0499999999993</v>
      </c>
      <c r="R7" t="s">
        <v>18</v>
      </c>
      <c r="S7">
        <f>M4</f>
        <v>416.35</v>
      </c>
      <c r="T7" t="s">
        <v>18</v>
      </c>
      <c r="U7">
        <f>(1-U2)*S7</f>
        <v>20.81750000000002</v>
      </c>
      <c r="W7" t="s">
        <v>18</v>
      </c>
      <c r="X7">
        <f t="shared" si="0"/>
        <v>20.81750000000002</v>
      </c>
      <c r="Y7" t="s">
        <v>18</v>
      </c>
      <c r="Z7">
        <f>X7</f>
        <v>20.81750000000002</v>
      </c>
      <c r="AB7" t="s">
        <v>18</v>
      </c>
      <c r="AC7">
        <f t="shared" si="1"/>
        <v>20.81750000000002</v>
      </c>
      <c r="AD7" t="s">
        <v>18</v>
      </c>
      <c r="AE7">
        <f t="shared" si="2"/>
        <v>20.81750000000002</v>
      </c>
      <c r="AG7" t="s">
        <v>18</v>
      </c>
      <c r="AH7">
        <f t="shared" si="3"/>
        <v>20.81750000000002</v>
      </c>
      <c r="AI7" t="s">
        <v>18</v>
      </c>
      <c r="AJ7">
        <f>AH7</f>
        <v>20.81750000000002</v>
      </c>
      <c r="AL7" t="s">
        <v>18</v>
      </c>
      <c r="AM7">
        <f t="shared" si="4"/>
        <v>20.81750000000002</v>
      </c>
      <c r="AN7" t="s">
        <v>18</v>
      </c>
      <c r="AO7">
        <f>AM7</f>
        <v>20.81750000000002</v>
      </c>
      <c r="AX7" t="s">
        <v>21</v>
      </c>
      <c r="AY7">
        <f>BG5</f>
        <v>2941.1764705882351</v>
      </c>
    </row>
    <row r="8" spans="1:59">
      <c r="R8" t="s">
        <v>24</v>
      </c>
      <c r="S8">
        <f>M5</f>
        <v>971.49999999999989</v>
      </c>
      <c r="T8" t="s">
        <v>26</v>
      </c>
      <c r="U8">
        <f>S9+2*T14</f>
        <v>3705.5649999999996</v>
      </c>
      <c r="W8" t="s">
        <v>26</v>
      </c>
      <c r="X8">
        <f t="shared" si="0"/>
        <v>3705.5649999999996</v>
      </c>
      <c r="Y8" t="s">
        <v>26</v>
      </c>
      <c r="Z8">
        <f>X8+Y14</f>
        <v>5004.2458749999996</v>
      </c>
      <c r="AB8" t="s">
        <v>26</v>
      </c>
      <c r="AC8">
        <f t="shared" si="1"/>
        <v>5004.2458749999996</v>
      </c>
      <c r="AD8" t="s">
        <v>26</v>
      </c>
      <c r="AE8">
        <f t="shared" si="2"/>
        <v>5004.2458749999996</v>
      </c>
      <c r="AG8" t="s">
        <v>26</v>
      </c>
      <c r="AH8">
        <f t="shared" si="3"/>
        <v>5004.2458749999996</v>
      </c>
      <c r="AI8" t="s">
        <v>26</v>
      </c>
      <c r="AJ8">
        <f>AH8</f>
        <v>5004.2458749999996</v>
      </c>
      <c r="AL8" t="s">
        <v>26</v>
      </c>
      <c r="AM8">
        <f t="shared" si="4"/>
        <v>5004.2458749999996</v>
      </c>
      <c r="AN8" t="s">
        <v>26</v>
      </c>
      <c r="AO8">
        <f>AM8</f>
        <v>5004.2458749999996</v>
      </c>
      <c r="BE8">
        <f>SUM(BE4:BE6)</f>
        <v>876.46650367646737</v>
      </c>
    </row>
    <row r="9" spans="1:59">
      <c r="R9" t="s">
        <v>26</v>
      </c>
      <c r="S9">
        <f>M6</f>
        <v>2914.4999999999995</v>
      </c>
      <c r="T9" t="s">
        <v>24</v>
      </c>
      <c r="U9">
        <f>S8+T14</f>
        <v>1367.0324999999998</v>
      </c>
      <c r="W9" t="s">
        <v>24</v>
      </c>
      <c r="X9">
        <f t="shared" si="0"/>
        <v>1367.0324999999998</v>
      </c>
      <c r="Y9" t="s">
        <v>24</v>
      </c>
      <c r="Z9">
        <f>X9*(1-AA2)</f>
        <v>68.351625000000055</v>
      </c>
      <c r="AB9" t="s">
        <v>24</v>
      </c>
      <c r="AC9">
        <f t="shared" si="1"/>
        <v>68.351625000000055</v>
      </c>
      <c r="AD9" t="s">
        <v>24</v>
      </c>
      <c r="AE9">
        <f t="shared" si="2"/>
        <v>68.351625000000055</v>
      </c>
      <c r="AG9" t="s">
        <v>24</v>
      </c>
      <c r="AH9">
        <f t="shared" si="3"/>
        <v>68.351625000000055</v>
      </c>
      <c r="AI9" t="s">
        <v>29</v>
      </c>
      <c r="AJ9">
        <f>2*AI14</f>
        <v>68.351625000000055</v>
      </c>
      <c r="AL9" t="s">
        <v>29</v>
      </c>
      <c r="AM9">
        <f t="shared" si="4"/>
        <v>68.351625000000055</v>
      </c>
      <c r="AN9" t="s">
        <v>19</v>
      </c>
      <c r="AO9">
        <f>AM10</f>
        <v>594.6882499999997</v>
      </c>
      <c r="BB9">
        <f>SUM(BB4:BB5)</f>
        <v>30025.466437499999</v>
      </c>
    </row>
    <row r="10" spans="1:59">
      <c r="L10" s="1"/>
      <c r="N10" s="1"/>
      <c r="R10" t="s">
        <v>19</v>
      </c>
      <c r="S10">
        <f>M7</f>
        <v>3192.0499999999993</v>
      </c>
      <c r="T10" t="s">
        <v>19</v>
      </c>
      <c r="U10">
        <f>S10</f>
        <v>3192.0499999999993</v>
      </c>
      <c r="W10" t="s">
        <v>19</v>
      </c>
      <c r="X10">
        <f t="shared" si="0"/>
        <v>3192.0499999999993</v>
      </c>
      <c r="Y10" t="s">
        <v>19</v>
      </c>
      <c r="Z10">
        <f>X10-Y14</f>
        <v>1893.3691249999995</v>
      </c>
      <c r="AB10" t="s">
        <v>19</v>
      </c>
      <c r="AC10">
        <f t="shared" si="1"/>
        <v>1893.3691249999995</v>
      </c>
      <c r="AD10" t="s">
        <v>19</v>
      </c>
      <c r="AE10">
        <f>AC10-AD14</f>
        <v>594.6882499999997</v>
      </c>
      <c r="AG10" t="s">
        <v>19</v>
      </c>
      <c r="AH10">
        <f t="shared" si="3"/>
        <v>594.6882499999997</v>
      </c>
      <c r="AI10" t="s">
        <v>19</v>
      </c>
      <c r="AJ10">
        <f>AH10</f>
        <v>594.6882499999997</v>
      </c>
      <c r="AL10" t="s">
        <v>19</v>
      </c>
      <c r="AM10">
        <f t="shared" si="4"/>
        <v>594.6882499999997</v>
      </c>
      <c r="AN10" t="s">
        <v>29</v>
      </c>
      <c r="AO10">
        <f>0</f>
        <v>0</v>
      </c>
      <c r="BB10">
        <f>BB9*BE10</f>
        <v>670.75995532085119</v>
      </c>
      <c r="BD10" t="s">
        <v>30</v>
      </c>
      <c r="BE10">
        <f>BE6/(BE6+BE5+BE4)</f>
        <v>2.2339701423692536E-2</v>
      </c>
    </row>
    <row r="11" spans="1:59">
      <c r="Y11" t="s">
        <v>29</v>
      </c>
      <c r="Z11">
        <f>Y14</f>
        <v>1298.6808749999998</v>
      </c>
      <c r="AB11" t="s">
        <v>29</v>
      </c>
      <c r="AC11">
        <f t="shared" si="1"/>
        <v>1298.6808749999998</v>
      </c>
      <c r="AD11" t="s">
        <v>31</v>
      </c>
      <c r="AE11">
        <f>2*AD14</f>
        <v>2597.3617499999996</v>
      </c>
      <c r="AG11" t="s">
        <v>29</v>
      </c>
      <c r="AH11">
        <f>0</f>
        <v>0</v>
      </c>
      <c r="AI11" t="s">
        <v>24</v>
      </c>
      <c r="AJ11">
        <f>0</f>
        <v>0</v>
      </c>
      <c r="AW11" t="s">
        <v>32</v>
      </c>
      <c r="AX11">
        <f>(AY7-0)/2</f>
        <v>1470.5882352941176</v>
      </c>
      <c r="BB11">
        <f>1-BE10</f>
        <v>0.97766029857630743</v>
      </c>
    </row>
    <row r="12" spans="1:59">
      <c r="AB12" t="s">
        <v>33</v>
      </c>
      <c r="AC12">
        <f>AD14</f>
        <v>1298.6808749999998</v>
      </c>
      <c r="AD12" t="s">
        <v>29</v>
      </c>
      <c r="AE12">
        <v>0</v>
      </c>
    </row>
    <row r="13" spans="1:59">
      <c r="F13" t="s">
        <v>32</v>
      </c>
      <c r="G13">
        <f>(H5-0)/1</f>
        <v>42.923195876288659</v>
      </c>
      <c r="K13" t="s">
        <v>32</v>
      </c>
      <c r="L13">
        <f>(M4-K5)/-1</f>
        <v>971.49999999999989</v>
      </c>
    </row>
    <row r="14" spans="1:59">
      <c r="S14" t="s">
        <v>32</v>
      </c>
      <c r="T14">
        <f>(U7-S7)/-1</f>
        <v>395.53250000000003</v>
      </c>
      <c r="X14" t="s">
        <v>32</v>
      </c>
      <c r="Y14">
        <f>(Z9-X9)/-1</f>
        <v>1298.6808749999998</v>
      </c>
      <c r="AC14" t="s">
        <v>32</v>
      </c>
      <c r="AD14">
        <f>(AE12-AC11)/-1</f>
        <v>1298.6808749999998</v>
      </c>
      <c r="AH14" t="s">
        <v>32</v>
      </c>
      <c r="AI14">
        <f>(0-AH9)/-2</f>
        <v>34.175812500000028</v>
      </c>
    </row>
    <row r="15" spans="1:59">
      <c r="AZ15" t="s">
        <v>34</v>
      </c>
    </row>
  </sheetData>
  <pageMargins left="0.7" right="0.7" top="0.75" bottom="0.75" header="0.3" footer="0.3"/>
  <pageSetup orientation="portrait" r:id="rId1"/>
  <ignoredErrors>
    <ignoredError sqref="U5 AJ5 AJ9 AO5 P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4278C-1106-4C1A-AD11-A625BC6D0517}">
  <dimension ref="A1:AJ207"/>
  <sheetViews>
    <sheetView topLeftCell="E10" zoomScaleNormal="100" workbookViewId="0">
      <selection activeCell="Q40" sqref="Q40"/>
    </sheetView>
  </sheetViews>
  <sheetFormatPr defaultRowHeight="15" customHeight="1"/>
  <cols>
    <col min="2" max="2" width="20.6640625" bestFit="1" customWidth="1"/>
    <col min="3" max="3" width="17.6640625" bestFit="1" customWidth="1"/>
    <col min="4" max="4" width="12" bestFit="1" customWidth="1"/>
    <col min="5" max="5" width="20.5546875" bestFit="1" customWidth="1"/>
    <col min="6" max="6" width="23.33203125" bestFit="1" customWidth="1"/>
    <col min="7" max="7" width="9.5546875" customWidth="1"/>
    <col min="8" max="8" width="10.109375" bestFit="1" customWidth="1"/>
    <col min="10" max="10" width="13.5546875" bestFit="1" customWidth="1"/>
    <col min="11" max="11" width="17.6640625" customWidth="1"/>
    <col min="12" max="12" width="14.6640625" customWidth="1"/>
    <col min="13" max="14" width="11.44140625" customWidth="1"/>
    <col min="17" max="17" width="20.33203125" customWidth="1"/>
    <col min="20" max="20" width="11.109375" bestFit="1" customWidth="1"/>
    <col min="21" max="21" width="12.33203125" customWidth="1"/>
    <col min="22" max="22" width="8" bestFit="1" customWidth="1"/>
    <col min="23" max="23" width="10.33203125" customWidth="1"/>
    <col min="28" max="29" width="9.33203125" bestFit="1" customWidth="1"/>
    <col min="33" max="33" width="17.44140625" bestFit="1" customWidth="1"/>
    <col min="16384" max="16384" width="9.109375" bestFit="1" customWidth="1"/>
  </cols>
  <sheetData>
    <row r="1" spans="1:36" ht="15" customHeight="1">
      <c r="F1" s="13" t="s">
        <v>35</v>
      </c>
      <c r="R1" s="10"/>
    </row>
    <row r="2" spans="1:36" ht="15.6">
      <c r="R2" s="10"/>
      <c r="T2" s="13" t="s">
        <v>36</v>
      </c>
      <c r="U2" s="16" t="s">
        <v>37</v>
      </c>
      <c r="V2" s="15"/>
    </row>
    <row r="3" spans="1:36" ht="14.4">
      <c r="R3" s="10"/>
      <c r="U3" t="s">
        <v>38</v>
      </c>
      <c r="V3" t="s">
        <v>39</v>
      </c>
    </row>
    <row r="4" spans="1:36" ht="15" customHeight="1">
      <c r="A4" s="6" t="s">
        <v>40</v>
      </c>
      <c r="B4" s="6"/>
      <c r="C4" s="18" t="s">
        <v>41</v>
      </c>
      <c r="R4" s="10"/>
      <c r="T4" t="s">
        <v>42</v>
      </c>
      <c r="U4">
        <v>300</v>
      </c>
      <c r="V4">
        <f>U4+273.15</f>
        <v>573.15</v>
      </c>
    </row>
    <row r="5" spans="1:36" ht="14.4">
      <c r="A5">
        <f>25+273.15</f>
        <v>298.14999999999998</v>
      </c>
      <c r="B5">
        <f>A5-273.15</f>
        <v>25</v>
      </c>
      <c r="C5">
        <f>300+273.15</f>
        <v>573.15</v>
      </c>
      <c r="D5">
        <f>C5-273.15</f>
        <v>300</v>
      </c>
      <c r="R5" s="10"/>
      <c r="T5" t="s">
        <v>43</v>
      </c>
      <c r="U5">
        <v>850</v>
      </c>
      <c r="V5">
        <f>U5+273.15</f>
        <v>1123.1500000000001</v>
      </c>
    </row>
    <row r="6" spans="1:36" ht="14.4">
      <c r="E6">
        <v>1</v>
      </c>
      <c r="F6" t="s">
        <v>44</v>
      </c>
      <c r="G6" t="s">
        <v>45</v>
      </c>
      <c r="H6" t="s">
        <v>46</v>
      </c>
      <c r="J6" t="s">
        <v>47</v>
      </c>
      <c r="K6">
        <v>8.3140000000000001</v>
      </c>
      <c r="R6" s="10"/>
    </row>
    <row r="7" spans="1:36" ht="14.4">
      <c r="C7" t="s">
        <v>48</v>
      </c>
      <c r="E7" t="s">
        <v>49</v>
      </c>
      <c r="F7" t="s">
        <v>50</v>
      </c>
      <c r="G7" t="s">
        <v>51</v>
      </c>
      <c r="H7" t="s">
        <v>52</v>
      </c>
      <c r="R7" s="10"/>
      <c r="U7" t="s">
        <v>53</v>
      </c>
      <c r="V7" t="s">
        <v>49</v>
      </c>
      <c r="W7" t="s">
        <v>50</v>
      </c>
      <c r="X7" t="s">
        <v>51</v>
      </c>
      <c r="Y7" t="s">
        <v>52</v>
      </c>
    </row>
    <row r="8" spans="1:36" ht="14.4">
      <c r="C8">
        <f>-78</f>
        <v>-78</v>
      </c>
      <c r="F8" s="3">
        <f>0.001</f>
        <v>1E-3</v>
      </c>
      <c r="G8">
        <f>0.000001</f>
        <v>9.9999999999999995E-7</v>
      </c>
      <c r="H8">
        <f>100000</f>
        <v>100000</v>
      </c>
      <c r="R8" s="10"/>
      <c r="V8">
        <v>1</v>
      </c>
      <c r="W8" s="3">
        <f>0.001</f>
        <v>1E-3</v>
      </c>
      <c r="X8">
        <f>0.000001</f>
        <v>9.9999999999999995E-7</v>
      </c>
      <c r="Y8">
        <f>100000</f>
        <v>100000</v>
      </c>
    </row>
    <row r="9" spans="1:36" ht="14.4">
      <c r="A9" t="s">
        <v>18</v>
      </c>
      <c r="B9">
        <f>('MATERIAL BALANCE'!F4)/(60*60*24)</f>
        <v>1.6063078703703701E-2</v>
      </c>
      <c r="E9">
        <v>1.702</v>
      </c>
      <c r="F9">
        <v>9.0809999999999995</v>
      </c>
      <c r="G9">
        <v>-2.1640000000000001</v>
      </c>
      <c r="H9">
        <v>0</v>
      </c>
      <c r="J9">
        <f>E9*($B$18-$B$19)</f>
        <v>-468.05</v>
      </c>
      <c r="K9" s="3">
        <f>(F9*$F$8*($B$18^2-B$19^2))*(1/2)</f>
        <v>-1087.9378537500002</v>
      </c>
      <c r="L9" s="3">
        <f>(1/3)*G9*$G$8*($B$18^3-$B$19^3)</f>
        <v>116.69494777141668</v>
      </c>
      <c r="M9">
        <f>H9*$H$8*(1/$B$18-1/$B$19)</f>
        <v>0</v>
      </c>
      <c r="O9">
        <f>SUM(J9:M9)</f>
        <v>-1439.2929059785833</v>
      </c>
      <c r="P9">
        <f>O9*B9*$K$6</f>
        <v>-192.2153170324259</v>
      </c>
      <c r="R9" s="10"/>
      <c r="T9" t="s">
        <v>18</v>
      </c>
      <c r="V9">
        <v>1.702</v>
      </c>
      <c r="W9">
        <v>9.0809999999999995</v>
      </c>
      <c r="X9">
        <v>-2.1640000000000001</v>
      </c>
      <c r="Y9">
        <v>0</v>
      </c>
      <c r="AA9">
        <f>V9*($V$5-$V$4)</f>
        <v>936.10000000000014</v>
      </c>
      <c r="AB9" s="3">
        <f>(W9*$W$8*($V$5^2-$V$4^2))*(1/2)</f>
        <v>4236.1275825000012</v>
      </c>
      <c r="AC9" s="3">
        <f>(1/3)*X9*$X$8*($V$5^3-$V$4^3)</f>
        <v>-886.1833527928336</v>
      </c>
      <c r="AD9">
        <f>Y9*$Y$8*(1/$V$5-1/$V$4)</f>
        <v>0</v>
      </c>
      <c r="AF9">
        <f>SUM(AA9:AD9)</f>
        <v>4286.0442297071677</v>
      </c>
      <c r="AG9">
        <f>1387.9/(60*60*24)</f>
        <v>1.6063657407407408E-2</v>
      </c>
      <c r="AH9">
        <f>AF9*AG9*8.314</f>
        <v>572.41512659974012</v>
      </c>
    </row>
    <row r="10" spans="1:36" ht="14.4">
      <c r="A10" t="s">
        <v>22</v>
      </c>
      <c r="B10">
        <f>('MATERIAL BALANCE'!F5)/(60*60*24)</f>
        <v>4.9679624856815573E-4</v>
      </c>
      <c r="E10">
        <v>3.931</v>
      </c>
      <c r="F10">
        <v>1.49</v>
      </c>
      <c r="G10">
        <v>0</v>
      </c>
      <c r="H10">
        <v>-0.23200000000000001</v>
      </c>
      <c r="J10">
        <f>E10*($B$18-$B$19)</f>
        <v>-1081.0250000000001</v>
      </c>
      <c r="K10" s="3">
        <f>(F10*$F$8*($B$18^2-B$19^2))*(1/2)</f>
        <v>-178.5075875</v>
      </c>
      <c r="L10" s="3">
        <f>(1/3)*G10*$G$8*($B$18^3-$B$19^3)</f>
        <v>0</v>
      </c>
      <c r="M10">
        <f>H10*$H$8*(1/$B$18-1/$B$19)</f>
        <v>-37.335121439870512</v>
      </c>
      <c r="O10">
        <f t="shared" ref="O10:O16" si="0">SUM(J10:M10)</f>
        <v>-1296.8677089398707</v>
      </c>
      <c r="P10">
        <f>O10*B10*$K$6</f>
        <v>-5.3565357115088714</v>
      </c>
      <c r="R10" s="10"/>
      <c r="T10" t="s">
        <v>22</v>
      </c>
      <c r="V10">
        <v>3.931</v>
      </c>
      <c r="W10">
        <v>1.49</v>
      </c>
      <c r="X10">
        <v>0</v>
      </c>
      <c r="Y10">
        <v>-0.23200000000000001</v>
      </c>
      <c r="AA10">
        <f>V10*($V$5-$V$4)</f>
        <v>2162.0500000000006</v>
      </c>
      <c r="AB10" s="3">
        <f>(W10*$W$8*($V$5^2-$V$4^2))*(1/2)</f>
        <v>695.05892500000004</v>
      </c>
      <c r="AC10" s="3">
        <f>(1/3)*X10*$X$8*($V$5^3-$V$4^3)</f>
        <v>0</v>
      </c>
      <c r="AD10">
        <f>Y10*$Y$8*(1/$V$5-1/$V$4)</f>
        <v>19.82186966531166</v>
      </c>
      <c r="AF10">
        <f t="shared" ref="AF10:AF66" si="1">SUM(AA10:AD10)</f>
        <v>2876.9307946653121</v>
      </c>
      <c r="AG10">
        <f>'MATERIAL BALANCE'!C5/(60*60*24)</f>
        <v>4.9679624856815573E-4</v>
      </c>
      <c r="AH10">
        <f>AF10*AG10*8.314</f>
        <v>11.882771415259938</v>
      </c>
      <c r="AI10" s="11">
        <f>SUM(AH9:AH10)</f>
        <v>584.2978980150001</v>
      </c>
      <c r="AJ10" t="s">
        <v>54</v>
      </c>
    </row>
    <row r="11" spans="1:36" ht="14.4">
      <c r="A11" t="s">
        <v>27</v>
      </c>
      <c r="B11">
        <f>('MATERIAL BALANCE'!F6)/(60*60*24)</f>
        <v>4.9679624856815573E-4</v>
      </c>
      <c r="E11">
        <v>45.91</v>
      </c>
      <c r="F11">
        <v>9.0890000000000004</v>
      </c>
      <c r="G11">
        <v>4.1589999999999998</v>
      </c>
      <c r="H11">
        <v>-6.04976</v>
      </c>
      <c r="J11">
        <f>E11*($B$18-$B$19)</f>
        <v>-12625.249999999998</v>
      </c>
      <c r="K11" s="3">
        <f>(F11*$F$8*($B$18^2-B$19^2))*(1/2)</f>
        <v>-1088.8962837500001</v>
      </c>
      <c r="L11" s="3">
        <f>(1/3)*G11*$G$8*($B$18^3-$B$19^3)</f>
        <v>-224.27647309672915</v>
      </c>
      <c r="M11">
        <f>H11*$H$8*(1/$B$18-1/$B$19)</f>
        <v>-973.57122535375447</v>
      </c>
      <c r="O11">
        <f>SUM(J11:M11)</f>
        <v>-14911.993982200482</v>
      </c>
      <c r="P11">
        <f>O11*B11*$K$6</f>
        <v>-61.591963270299736</v>
      </c>
      <c r="Q11" s="4">
        <f>SUM(P9:P11)</f>
        <v>-259.1638160142345</v>
      </c>
      <c r="R11" s="10"/>
      <c r="AB11" s="3"/>
      <c r="AC11" s="3"/>
    </row>
    <row r="12" spans="1:36" ht="14.4">
      <c r="K12" s="3"/>
      <c r="L12" s="3"/>
      <c r="R12" s="10"/>
      <c r="AB12" s="3"/>
      <c r="AC12" s="3"/>
    </row>
    <row r="13" spans="1:36" ht="15.6">
      <c r="K13" s="3"/>
      <c r="L13" s="3"/>
      <c r="R13" s="10"/>
      <c r="T13" s="13" t="s">
        <v>36</v>
      </c>
      <c r="U13" s="16" t="s">
        <v>55</v>
      </c>
      <c r="V13" s="15"/>
      <c r="AB13" s="3"/>
      <c r="AC13" s="3"/>
    </row>
    <row r="14" spans="1:36" ht="14.4">
      <c r="A14" t="s">
        <v>19</v>
      </c>
      <c r="B14">
        <f>('MATERIAL BALANCE'!H4)/(60*60*24)</f>
        <v>4.9679624856815573E-4</v>
      </c>
      <c r="E14">
        <v>3.47</v>
      </c>
      <c r="F14">
        <v>1.45</v>
      </c>
      <c r="G14">
        <v>0</v>
      </c>
      <c r="H14">
        <v>0.121</v>
      </c>
      <c r="J14">
        <f>E14*($B$18-$B$19)</f>
        <v>-954.25</v>
      </c>
      <c r="K14" s="3">
        <f>(F14*$F$8*($B$18^2-B$19^2))*(1/2)</f>
        <v>-173.71543749999998</v>
      </c>
      <c r="L14" s="3">
        <f>(1/3)*G14*$G$8*($B$18^3-$B$19^3)</f>
        <v>0</v>
      </c>
      <c r="M14">
        <f>H14*$H$8*(1/$B$18-1/$B$19)</f>
        <v>19.472196957863499</v>
      </c>
      <c r="O14">
        <f t="shared" si="0"/>
        <v>-1108.4932405421366</v>
      </c>
      <c r="P14">
        <f>O14*B14*$K$6</f>
        <v>-4.5784805867237841</v>
      </c>
      <c r="R14" s="10"/>
      <c r="AB14" s="3"/>
      <c r="AC14" s="3"/>
    </row>
    <row r="15" spans="1:36" ht="14.4">
      <c r="A15" t="s">
        <v>23</v>
      </c>
      <c r="B15">
        <f>('MATERIAL BALANCE'!H5)/(60*60*24)</f>
        <v>4.9679624856815573E-4</v>
      </c>
      <c r="E15">
        <v>43.11</v>
      </c>
      <c r="F15">
        <f>0.012658*1000</f>
        <v>12.658000000000001</v>
      </c>
      <c r="G15">
        <f>-1.122</f>
        <v>-1.1220000000000001</v>
      </c>
      <c r="H15">
        <f>2.48</f>
        <v>2.48</v>
      </c>
      <c r="J15">
        <f>E15*($B$18-$B$19)</f>
        <v>-11855.25</v>
      </c>
      <c r="K15" s="3">
        <f>(F15*$F$8*($B$18^2-B$19^2))*(1/2)</f>
        <v>-1516.4758675</v>
      </c>
      <c r="L15" s="3">
        <f>(1/3)*G15*$G$8*($B$18^3-$B$19^3)</f>
        <v>60.504496949874998</v>
      </c>
      <c r="M15">
        <f>H15*$H$8*(1/$B$18-1/$B$19)</f>
        <v>399.09957401240894</v>
      </c>
      <c r="O15">
        <f>SUM(J15:M15)</f>
        <v>-12912.121796537715</v>
      </c>
      <c r="P15">
        <f>O15*B15*$K$6</f>
        <v>-53.331763168846983</v>
      </c>
      <c r="R15" s="10"/>
      <c r="T15" t="s">
        <v>42</v>
      </c>
      <c r="U15">
        <v>25</v>
      </c>
      <c r="V15">
        <v>298.14999999999998</v>
      </c>
      <c r="AB15" s="3"/>
      <c r="AC15" s="3"/>
    </row>
    <row r="16" spans="1:36" ht="14.4">
      <c r="A16" t="s">
        <v>18</v>
      </c>
      <c r="B16">
        <f>('MATERIAL BALANCE'!H6)/(60*60*24)</f>
        <v>1.6063078703703701E-2</v>
      </c>
      <c r="E16">
        <v>1.702</v>
      </c>
      <c r="F16">
        <v>9.0809999999999995</v>
      </c>
      <c r="G16">
        <v>-2.1640000000000001</v>
      </c>
      <c r="H16">
        <v>0</v>
      </c>
      <c r="J16">
        <f>E16*($B$18-$B$19)</f>
        <v>-468.05</v>
      </c>
      <c r="K16" s="3">
        <f>(F16*$F$8*($B$18^2-B$19^2))*(1/2)</f>
        <v>-1087.9378537500002</v>
      </c>
      <c r="L16" s="3">
        <f>(1/3)*G16*$G$8*($B$18^3-$B$19^3)</f>
        <v>116.69494777141668</v>
      </c>
      <c r="M16">
        <f>H16*$H$8*(1/$B$18-1/$B$19)</f>
        <v>0</v>
      </c>
      <c r="O16">
        <f t="shared" si="0"/>
        <v>-1439.2929059785833</v>
      </c>
      <c r="P16">
        <f>O16*B16*$K$6</f>
        <v>-192.2153170324259</v>
      </c>
      <c r="Q16" s="4">
        <f>SUM(P14:P16)</f>
        <v>-250.12556078799668</v>
      </c>
      <c r="R16" s="10"/>
      <c r="T16" t="s">
        <v>43</v>
      </c>
      <c r="U16">
        <v>500</v>
      </c>
      <c r="V16">
        <f>273.15+U16</f>
        <v>773.15</v>
      </c>
      <c r="AB16" s="3"/>
      <c r="AC16" s="3"/>
    </row>
    <row r="17" spans="1:36" ht="14.4">
      <c r="K17" s="3"/>
      <c r="L17" s="3"/>
      <c r="R17" s="10"/>
      <c r="AB17" s="3"/>
      <c r="AC17" s="3"/>
    </row>
    <row r="18" spans="1:36" ht="14.4">
      <c r="A18" t="s">
        <v>42</v>
      </c>
      <c r="B18">
        <v>298.14999999999998</v>
      </c>
      <c r="K18" s="3"/>
      <c r="L18" s="3"/>
      <c r="R18" s="10"/>
      <c r="U18" t="s">
        <v>53</v>
      </c>
      <c r="V18" t="s">
        <v>49</v>
      </c>
      <c r="W18" t="s">
        <v>50</v>
      </c>
      <c r="X18" t="s">
        <v>51</v>
      </c>
      <c r="Y18" t="s">
        <v>52</v>
      </c>
      <c r="AB18" s="3"/>
      <c r="AC18" s="3"/>
    </row>
    <row r="19" spans="1:36" ht="15" customHeight="1">
      <c r="A19" t="s">
        <v>43</v>
      </c>
      <c r="B19">
        <v>573.15</v>
      </c>
      <c r="K19" s="3"/>
      <c r="L19" s="3"/>
      <c r="P19" t="s">
        <v>54</v>
      </c>
      <c r="Q19" s="8">
        <f>(Q16+Q11)+('MATERIAL BALANCE'!G13*C8*1000/(24*60*60))</f>
        <v>-548.03948419054734</v>
      </c>
      <c r="R19" s="10"/>
      <c r="V19">
        <v>1</v>
      </c>
      <c r="W19" s="3">
        <f>0.001</f>
        <v>1E-3</v>
      </c>
      <c r="X19">
        <f>0.000001</f>
        <v>9.9999999999999995E-7</v>
      </c>
      <c r="Y19">
        <f>100000</f>
        <v>100000</v>
      </c>
      <c r="AB19" s="3"/>
      <c r="AC19" s="3"/>
    </row>
    <row r="20" spans="1:36" ht="15" customHeight="1">
      <c r="K20" s="3"/>
      <c r="L20" s="3"/>
      <c r="R20" s="10"/>
      <c r="T20" t="s">
        <v>25</v>
      </c>
      <c r="V20">
        <v>3.6389999999999998</v>
      </c>
      <c r="W20">
        <v>0.50600000000000001</v>
      </c>
      <c r="X20">
        <v>0</v>
      </c>
      <c r="Y20">
        <v>-0.22700000000000001</v>
      </c>
      <c r="AA20">
        <f>V20*($V$16-$V$15)</f>
        <v>1728.5249999999999</v>
      </c>
      <c r="AB20" s="3">
        <f>(W20*$W$8*($V$16^2-$V$15^2))*(1/2)</f>
        <v>128.74347750000001</v>
      </c>
      <c r="AC20" s="3">
        <f>(1/3)*X20*$X$8*($V$16^3-$V$15^3)</f>
        <v>0</v>
      </c>
      <c r="AD20">
        <f>Y20*$Y$8*(1/$V$16-1/$V$15)</f>
        <v>46.775764349664129</v>
      </c>
      <c r="AF20">
        <f t="shared" si="1"/>
        <v>1904.0442418496639</v>
      </c>
      <c r="AG20">
        <f>'MATERIAL BALANCE'!P5/(60*60*24)</f>
        <v>5.1978988603988601E-3</v>
      </c>
      <c r="AH20">
        <f>AF20*AG20*8.314</f>
        <v>82.283902388860881</v>
      </c>
    </row>
    <row r="21" spans="1:36" ht="15" customHeight="1">
      <c r="K21" s="3"/>
      <c r="L21" s="3"/>
      <c r="R21" s="10"/>
      <c r="T21" t="s">
        <v>20</v>
      </c>
      <c r="V21">
        <v>3.28</v>
      </c>
      <c r="W21">
        <v>0.59299999999999997</v>
      </c>
      <c r="X21">
        <v>0</v>
      </c>
      <c r="Y21">
        <v>0.04</v>
      </c>
      <c r="AA21">
        <f>V21*($V$16-$V$15)</f>
        <v>1558</v>
      </c>
      <c r="AB21" s="3">
        <f>(W21*$W$8*($V$16^2-$V$15^2))*(1/2)</f>
        <v>150.87921374999999</v>
      </c>
      <c r="AC21" s="3">
        <f>(1/3)*X21*$X$8*($V$16^3-$V$15^3)</f>
        <v>0</v>
      </c>
      <c r="AD21">
        <f>Y21*$Y$8*(1/$V$16-1/$V$15)</f>
        <v>-8.2424254360641633</v>
      </c>
      <c r="AF21">
        <f t="shared" si="1"/>
        <v>1700.6367883139358</v>
      </c>
      <c r="AG21">
        <f>'MATERIAL BALANCE'!P4/(60*60*24)</f>
        <v>1.930648148148148E-2</v>
      </c>
      <c r="AH21">
        <f>AF21*AG21*8.314</f>
        <v>272.97616145781018</v>
      </c>
    </row>
    <row r="22" spans="1:36" ht="15" customHeight="1">
      <c r="A22" t="s">
        <v>56</v>
      </c>
      <c r="B22">
        <v>298.14999999999998</v>
      </c>
      <c r="F22" s="13" t="s">
        <v>57</v>
      </c>
      <c r="K22" s="3"/>
      <c r="L22" s="3"/>
      <c r="R22" s="10"/>
      <c r="T22" t="s">
        <v>28</v>
      </c>
      <c r="V22">
        <v>20.786000000000001</v>
      </c>
      <c r="W22">
        <v>0.123</v>
      </c>
      <c r="X22">
        <f>-0.136</f>
        <v>-0.13600000000000001</v>
      </c>
      <c r="Y22">
        <v>0</v>
      </c>
      <c r="AA22">
        <f>V22*($V$16-$V$15)</f>
        <v>9873.35</v>
      </c>
      <c r="AB22" s="3">
        <f>(W22*$W$8*($V$16^2-$V$15^2))*(1/2)</f>
        <v>31.295351250000003</v>
      </c>
      <c r="AC22" s="3">
        <f>(1/3)*X22*$X$8*($V$16^3-$V$15^3)</f>
        <v>-19.749706176833332</v>
      </c>
      <c r="AD22">
        <f>Y22*$Y$8*(1/$V$16-1/$V$15)</f>
        <v>0</v>
      </c>
      <c r="AF22">
        <f>SUM(AA22:AD22)</f>
        <v>9884.8956450731675</v>
      </c>
      <c r="AG22">
        <f>'MATERIAL BALANCE'!P6/(60*60*24)</f>
        <v>2.2662037037037035E-4</v>
      </c>
      <c r="AH22">
        <f>AF22*AG22*8.314</f>
        <v>18.624346972889448</v>
      </c>
      <c r="AI22" s="11">
        <f>SUM(AH20:AH22)</f>
        <v>373.88441081956051</v>
      </c>
      <c r="AJ22" t="s">
        <v>54</v>
      </c>
    </row>
    <row r="23" spans="1:36" ht="15" customHeight="1">
      <c r="R23" s="10"/>
      <c r="AB23" s="3"/>
      <c r="AC23" s="3"/>
    </row>
    <row r="24" spans="1:36" ht="15" customHeight="1">
      <c r="A24" t="s">
        <v>58</v>
      </c>
      <c r="D24" t="s">
        <v>59</v>
      </c>
      <c r="E24">
        <f>206</f>
        <v>206</v>
      </c>
      <c r="R24" s="10"/>
      <c r="T24" s="13" t="s">
        <v>60</v>
      </c>
      <c r="U24" s="16" t="s">
        <v>61</v>
      </c>
      <c r="V24" s="15"/>
      <c r="AB24" s="3"/>
      <c r="AC24" s="3"/>
    </row>
    <row r="25" spans="1:36" ht="15" customHeight="1">
      <c r="K25" s="3"/>
      <c r="L25" s="3"/>
      <c r="R25" s="10"/>
      <c r="AB25" s="3"/>
      <c r="AC25" s="3"/>
    </row>
    <row r="26" spans="1:36" ht="15" customHeight="1">
      <c r="A26" t="s">
        <v>62</v>
      </c>
      <c r="B26">
        <v>400</v>
      </c>
      <c r="C26">
        <f>B26+273.15</f>
        <v>673.15</v>
      </c>
      <c r="K26" s="3"/>
      <c r="L26" s="3"/>
      <c r="R26" s="10"/>
      <c r="T26" t="s">
        <v>42</v>
      </c>
      <c r="U26">
        <v>1000</v>
      </c>
      <c r="V26">
        <f>273.15+U26</f>
        <v>1273.1500000000001</v>
      </c>
      <c r="AB26" s="3"/>
      <c r="AC26" s="3"/>
    </row>
    <row r="27" spans="1:36" ht="15" customHeight="1">
      <c r="A27" t="s">
        <v>19</v>
      </c>
      <c r="B27">
        <f>('MATERIAL BALANCE'!K4)/(60*60*24)</f>
        <v>4.8189236111111103E-2</v>
      </c>
      <c r="E27">
        <v>3.47</v>
      </c>
      <c r="F27">
        <v>1.45</v>
      </c>
      <c r="G27">
        <v>0</v>
      </c>
      <c r="H27">
        <v>0.121</v>
      </c>
      <c r="J27">
        <f>E27*($B$22-$C26)</f>
        <v>-1301.25</v>
      </c>
      <c r="K27" s="3">
        <f>(F27*$F$8*($B$22^2-$C26^2))*(1/2)</f>
        <v>-264.07218749999998</v>
      </c>
      <c r="L27" s="3">
        <f>(1/3)*G27*$G$8*($B$22^3-$C26^3)</f>
        <v>0</v>
      </c>
      <c r="M27">
        <f>H27*$H$8*(1/$B$22-1/$C26)</f>
        <v>22.608407594686039</v>
      </c>
      <c r="O27">
        <f>SUM(J27:M27)</f>
        <v>-1542.7137799053139</v>
      </c>
      <c r="P27">
        <f>O27*B27*$K$6</f>
        <v>-618.08103909157546</v>
      </c>
      <c r="R27" s="10"/>
      <c r="T27" t="s">
        <v>43</v>
      </c>
      <c r="U27">
        <v>350</v>
      </c>
      <c r="V27">
        <f>273.15+U27</f>
        <v>623.15</v>
      </c>
      <c r="AB27" s="3"/>
      <c r="AC27" s="3"/>
    </row>
    <row r="28" spans="1:36" ht="15" customHeight="1">
      <c r="K28" s="3"/>
      <c r="L28" s="3"/>
      <c r="R28" s="10"/>
      <c r="AB28" s="3"/>
      <c r="AC28" s="3"/>
    </row>
    <row r="29" spans="1:36" ht="15" customHeight="1">
      <c r="B29">
        <v>850</v>
      </c>
      <c r="C29">
        <f t="shared" ref="C29" si="2">B29+273.15</f>
        <v>1123.1500000000001</v>
      </c>
      <c r="K29" s="3"/>
      <c r="L29" s="3"/>
      <c r="R29" s="10"/>
      <c r="U29" t="s">
        <v>53</v>
      </c>
      <c r="V29" t="s">
        <v>49</v>
      </c>
      <c r="W29" t="s">
        <v>50</v>
      </c>
      <c r="X29" t="s">
        <v>51</v>
      </c>
      <c r="Y29" t="s">
        <v>52</v>
      </c>
      <c r="AB29" s="3"/>
      <c r="AC29" s="3"/>
    </row>
    <row r="30" spans="1:36" ht="15" customHeight="1">
      <c r="A30" t="s">
        <v>18</v>
      </c>
      <c r="B30">
        <f>('MATERIAL BALANCE'!K5)/(60*60*24)</f>
        <v>1.6063078703703701E-2</v>
      </c>
      <c r="E30">
        <v>1.702</v>
      </c>
      <c r="F30">
        <v>9.0809999999999995</v>
      </c>
      <c r="G30">
        <v>-2.1640000000000001</v>
      </c>
      <c r="H30">
        <v>0</v>
      </c>
      <c r="J30">
        <f>E30*($B$22-$C29)</f>
        <v>-1404.15</v>
      </c>
      <c r="K30" s="3">
        <f>(F30*$F$8*($B$22^2-$C29^2))*(1/2)</f>
        <v>-5324.0654362499999</v>
      </c>
      <c r="L30" s="3">
        <f>(1/3)*G30*$G$8*($B$22^3-$C29^3)</f>
        <v>1002.8783005642503</v>
      </c>
      <c r="M30">
        <f>H30*$H$8*(1/$B$22-1/$C29)</f>
        <v>0</v>
      </c>
      <c r="O30">
        <f>SUM(J30:M30)</f>
        <v>-5725.3371356857506</v>
      </c>
      <c r="P30">
        <f>O30*B30*$K$6</f>
        <v>-764.60982200500973</v>
      </c>
      <c r="Q30" s="4">
        <f>SUM(P27:P30)</f>
        <v>-1382.6908610965852</v>
      </c>
      <c r="R30" s="10"/>
      <c r="V30">
        <v>1</v>
      </c>
      <c r="W30" s="3">
        <f>0.001</f>
        <v>1E-3</v>
      </c>
      <c r="X30">
        <f>0.000001</f>
        <v>9.9999999999999995E-7</v>
      </c>
      <c r="Y30">
        <f>100000</f>
        <v>100000</v>
      </c>
      <c r="AB30" s="3"/>
      <c r="AC30" s="3"/>
    </row>
    <row r="31" spans="1:36" ht="15" customHeight="1">
      <c r="K31" s="3"/>
      <c r="L31" s="3"/>
      <c r="R31" s="10"/>
      <c r="T31" t="s">
        <v>20</v>
      </c>
      <c r="V31">
        <v>3.28</v>
      </c>
      <c r="W31">
        <v>0.59299999999999997</v>
      </c>
      <c r="X31">
        <v>0</v>
      </c>
      <c r="Y31">
        <v>0.04</v>
      </c>
      <c r="AA31">
        <f t="shared" ref="AA31:AA37" si="3">V31*($V$27-$V$26)</f>
        <v>-2132.0000000000005</v>
      </c>
      <c r="AB31" s="3">
        <f t="shared" ref="AB31:AB37" si="4">(W31*$W$8*($V$27^2-$V$26^2))*(1/2)</f>
        <v>-365.46441750000014</v>
      </c>
      <c r="AC31" s="3">
        <f t="shared" ref="AC31:AC37" si="5">(1/3)*X31*$X$8*($V$27^3-$V$26^3)</f>
        <v>0</v>
      </c>
      <c r="AD31">
        <f t="shared" ref="AD31:AD37" si="6">Y31*$Y$8*(1/$V$27-1/$V$26)</f>
        <v>3.277186628805036</v>
      </c>
      <c r="AF31">
        <f t="shared" si="1"/>
        <v>-2494.1872308711959</v>
      </c>
      <c r="AG31">
        <f>'MATERIAL BALANCE'!U4/(60*60*24)</f>
        <v>1.930648148148148E-2</v>
      </c>
      <c r="AH31">
        <f t="shared" ref="AH31:AH37" si="7">AF31*AG31*8.314</f>
        <v>-400.35218626272547</v>
      </c>
    </row>
    <row r="32" spans="1:36" ht="15" customHeight="1">
      <c r="A32" t="s">
        <v>63</v>
      </c>
      <c r="R32" s="10"/>
      <c r="T32" t="s">
        <v>25</v>
      </c>
      <c r="V32">
        <v>3.6389999999999998</v>
      </c>
      <c r="W32">
        <v>0.50600000000000001</v>
      </c>
      <c r="X32">
        <v>0</v>
      </c>
      <c r="Y32">
        <v>-0.22700000000000001</v>
      </c>
      <c r="AA32">
        <f t="shared" si="3"/>
        <v>-2365.3500000000004</v>
      </c>
      <c r="AB32" s="3">
        <f t="shared" si="4"/>
        <v>-311.84653500000013</v>
      </c>
      <c r="AC32" s="3">
        <f t="shared" si="5"/>
        <v>0</v>
      </c>
      <c r="AD32">
        <f t="shared" si="6"/>
        <v>-18.598034118468579</v>
      </c>
      <c r="AF32">
        <f t="shared" si="1"/>
        <v>-2695.7945691184691</v>
      </c>
      <c r="AG32">
        <f>'MATERIAL BALANCE'!U5/(60*60*24)</f>
        <v>2.9089376335470077E-3</v>
      </c>
      <c r="AH32">
        <f t="shared" si="7"/>
        <v>-65.197542253530827</v>
      </c>
    </row>
    <row r="33" spans="1:36" ht="15" customHeight="1">
      <c r="K33" s="3"/>
      <c r="L33" s="3"/>
      <c r="R33" s="10"/>
      <c r="T33" t="s">
        <v>18</v>
      </c>
      <c r="V33">
        <v>1.702</v>
      </c>
      <c r="W33">
        <v>9.0809999999999995</v>
      </c>
      <c r="X33">
        <v>-2.1640000000000001</v>
      </c>
      <c r="Y33">
        <v>0</v>
      </c>
      <c r="AA33">
        <f t="shared" si="3"/>
        <v>-1106.3000000000002</v>
      </c>
      <c r="AB33" s="3">
        <f t="shared" si="4"/>
        <v>-5596.5975975000028</v>
      </c>
      <c r="AC33" s="3">
        <f t="shared" si="5"/>
        <v>1314.0411567551671</v>
      </c>
      <c r="AD33">
        <f t="shared" si="6"/>
        <v>0</v>
      </c>
      <c r="AF33">
        <f t="shared" si="1"/>
        <v>-5388.8564407448357</v>
      </c>
      <c r="AG33">
        <f>'MATERIAL BALANCE'!U7/(60*60*24)</f>
        <v>2.4094328703703726E-4</v>
      </c>
      <c r="AH33">
        <f t="shared" si="7"/>
        <v>-10.794970631870143</v>
      </c>
    </row>
    <row r="34" spans="1:36" ht="15" customHeight="1">
      <c r="A34" t="s">
        <v>64</v>
      </c>
      <c r="B34">
        <v>900</v>
      </c>
      <c r="C34">
        <f>273.15+B34</f>
        <v>1173.1500000000001</v>
      </c>
      <c r="K34" s="3"/>
      <c r="L34" s="3"/>
      <c r="R34" s="10"/>
      <c r="T34" t="s">
        <v>26</v>
      </c>
      <c r="V34">
        <v>3.2490000000000001</v>
      </c>
      <c r="W34">
        <v>0.42199999999999999</v>
      </c>
      <c r="X34">
        <v>0</v>
      </c>
      <c r="Y34">
        <v>8.3000000000000004E-2</v>
      </c>
      <c r="AA34">
        <f t="shared" si="3"/>
        <v>-2111.8500000000004</v>
      </c>
      <c r="AB34" s="3">
        <f t="shared" si="4"/>
        <v>-260.0775450000001</v>
      </c>
      <c r="AC34" s="3">
        <f t="shared" si="5"/>
        <v>0</v>
      </c>
      <c r="AD34">
        <f t="shared" si="6"/>
        <v>6.8001622547704494</v>
      </c>
      <c r="AF34">
        <f t="shared" si="1"/>
        <v>-2365.1273827452301</v>
      </c>
      <c r="AG34">
        <f>'MATERIAL BALANCE'!U8/(60*60*24)</f>
        <v>4.2888483796296291E-2</v>
      </c>
      <c r="AH34">
        <f t="shared" si="7"/>
        <v>-843.34495186171193</v>
      </c>
    </row>
    <row r="35" spans="1:36" ht="15" customHeight="1">
      <c r="A35" t="s">
        <v>18</v>
      </c>
      <c r="B35">
        <f>('MATERIAL BALANCE'!M4)/(60*60*24)</f>
        <v>4.8188657407407407E-3</v>
      </c>
      <c r="E35">
        <v>1.702</v>
      </c>
      <c r="F35">
        <v>9.0809999999999995</v>
      </c>
      <c r="G35">
        <v>-2.1640000000000001</v>
      </c>
      <c r="H35">
        <v>0</v>
      </c>
      <c r="J35">
        <f>-E35*($B$22-$C34)</f>
        <v>1489.2500000000002</v>
      </c>
      <c r="K35" s="3">
        <f>-1*(F35*$F$8*($B$22^2-$C34^2))*(1/2)</f>
        <v>5845.3829437500008</v>
      </c>
      <c r="L35" s="3">
        <f>-1*(1/3)*G35*$G$8*($B$22^3-$C$34^3)</f>
        <v>-1145.535321545417</v>
      </c>
      <c r="M35">
        <f>-1*H35*$H$8*(1/$B$22-1/$C$34)</f>
        <v>0</v>
      </c>
      <c r="O35">
        <f>SUM(J35:M35)</f>
        <v>6189.0976222045838</v>
      </c>
      <c r="P35">
        <f>O35*B35*$K$6</f>
        <v>247.96031515822406</v>
      </c>
      <c r="R35" s="10"/>
      <c r="T35" t="s">
        <v>24</v>
      </c>
      <c r="V35">
        <v>3.3759999999999999</v>
      </c>
      <c r="W35">
        <v>0.55700000000000005</v>
      </c>
      <c r="X35">
        <v>0</v>
      </c>
      <c r="Y35">
        <v>-3.1E-2</v>
      </c>
      <c r="AA35">
        <f t="shared" si="3"/>
        <v>-2194.4</v>
      </c>
      <c r="AB35" s="3">
        <f t="shared" si="4"/>
        <v>-343.27770750000019</v>
      </c>
      <c r="AC35" s="3">
        <f t="shared" si="5"/>
        <v>0</v>
      </c>
      <c r="AD35">
        <f t="shared" si="6"/>
        <v>-2.539819637323903</v>
      </c>
      <c r="AF35">
        <f t="shared" si="1"/>
        <v>-2540.2175271373244</v>
      </c>
      <c r="AG35">
        <f>'MATERIAL BALANCE'!U9/(60*60*24)</f>
        <v>1.5822135416666664E-2</v>
      </c>
      <c r="AH35">
        <f t="shared" si="7"/>
        <v>-334.15350864773228</v>
      </c>
    </row>
    <row r="36" spans="1:36" ht="15" customHeight="1">
      <c r="A36" t="s">
        <v>24</v>
      </c>
      <c r="B36">
        <f>('MATERIAL BALANCE'!M5)/(60*60*24)</f>
        <v>1.1244212962962961E-2</v>
      </c>
      <c r="E36">
        <v>3.3759999999999999</v>
      </c>
      <c r="F36">
        <v>0.55700000000000005</v>
      </c>
      <c r="G36">
        <v>0</v>
      </c>
      <c r="H36">
        <v>-3.1E-2</v>
      </c>
      <c r="J36">
        <f>-E36*($B$22-$C34)</f>
        <v>2954.0000000000005</v>
      </c>
      <c r="K36" s="3">
        <f>-1*(F36*$F$8*($B$22^2-$C34^2))*(1/2)</f>
        <v>358.53741875000009</v>
      </c>
      <c r="L36" s="3">
        <f>-1*(1/3)*G36*$G$8*($B$22^3-$C$34^3)</f>
        <v>0</v>
      </c>
      <c r="M36">
        <f>-1*H36*$H$8*(1/$B$22-1/$C$34)</f>
        <v>7.7549926088487746</v>
      </c>
      <c r="O36">
        <f>SUM(J36:M36)</f>
        <v>3320.2924113588492</v>
      </c>
      <c r="P36">
        <f>O36*B36*$K$6</f>
        <v>310.39549932243517</v>
      </c>
      <c r="R36" s="10"/>
      <c r="T36" t="s">
        <v>19</v>
      </c>
      <c r="V36">
        <v>3.47</v>
      </c>
      <c r="W36">
        <v>1.45</v>
      </c>
      <c r="X36">
        <v>0</v>
      </c>
      <c r="Y36">
        <v>0.121</v>
      </c>
      <c r="AA36">
        <f t="shared" si="3"/>
        <v>-2255.5000000000005</v>
      </c>
      <c r="AB36" s="3">
        <f t="shared" si="4"/>
        <v>-893.63137500000028</v>
      </c>
      <c r="AC36" s="3">
        <f t="shared" si="5"/>
        <v>0</v>
      </c>
      <c r="AD36">
        <f t="shared" si="6"/>
        <v>9.9134895521352338</v>
      </c>
      <c r="AF36">
        <f t="shared" si="1"/>
        <v>-3139.2178854478657</v>
      </c>
      <c r="AG36">
        <f>'MATERIAL BALANCE'!U10/(60*60*24)</f>
        <v>3.694502314814814E-2</v>
      </c>
      <c r="AH36">
        <f t="shared" si="7"/>
        <v>-964.24506147733132</v>
      </c>
    </row>
    <row r="37" spans="1:36" ht="15" customHeight="1">
      <c r="A37" t="s">
        <v>26</v>
      </c>
      <c r="B37">
        <f>('MATERIAL BALANCE'!M6)/(60*60*24)</f>
        <v>3.3732638888888881E-2</v>
      </c>
      <c r="E37">
        <v>3.2490000000000001</v>
      </c>
      <c r="F37">
        <v>0.42199999999999999</v>
      </c>
      <c r="G37">
        <v>0</v>
      </c>
      <c r="H37">
        <v>8.3000000000000004E-2</v>
      </c>
      <c r="J37">
        <f>-E37*($B$22-$C34)</f>
        <v>2842.8750000000005</v>
      </c>
      <c r="K37" s="3">
        <f>-1*(F37*$F$8*($B$22^2-$C34^2))*(1/2)</f>
        <v>271.63876249999998</v>
      </c>
      <c r="L37" s="3">
        <f>-1*(1/3)*G37*$G$8*($B$22^3-$C$34^3)</f>
        <v>0</v>
      </c>
      <c r="M37">
        <f>-1*H37*$H$8*(1/$B$22-1/$C$34)</f>
        <v>-20.763367307562849</v>
      </c>
      <c r="O37">
        <f>SUM(J37:M37)</f>
        <v>3093.7503951924377</v>
      </c>
      <c r="P37">
        <f>O37*B37*$K$6</f>
        <v>867.65207372359271</v>
      </c>
      <c r="R37" s="10"/>
      <c r="T37" t="s">
        <v>28</v>
      </c>
      <c r="V37">
        <v>20.786000000000001</v>
      </c>
      <c r="W37">
        <v>0.123</v>
      </c>
      <c r="X37">
        <f>-0.136</f>
        <v>-0.13600000000000001</v>
      </c>
      <c r="Y37">
        <v>0</v>
      </c>
      <c r="AA37">
        <f t="shared" si="3"/>
        <v>-13510.900000000003</v>
      </c>
      <c r="AB37" s="3">
        <f t="shared" si="4"/>
        <v>-75.804592500000027</v>
      </c>
      <c r="AC37" s="3">
        <f t="shared" si="5"/>
        <v>82.58299321566669</v>
      </c>
      <c r="AD37">
        <f t="shared" si="6"/>
        <v>0</v>
      </c>
      <c r="AF37">
        <f>SUM(AA37:AD37)</f>
        <v>-13504.121599284337</v>
      </c>
      <c r="AG37">
        <f>'MATERIAL BALANCE'!U6/(60*60*24)</f>
        <v>2.2662037037037035E-4</v>
      </c>
      <c r="AH37">
        <f t="shared" si="7"/>
        <v>-25.443409344894565</v>
      </c>
      <c r="AI37" s="11">
        <f>SUM(AH31:AH37)</f>
        <v>-2643.5316304797961</v>
      </c>
      <c r="AJ37" t="s">
        <v>54</v>
      </c>
    </row>
    <row r="38" spans="1:36" ht="15" customHeight="1">
      <c r="A38" t="s">
        <v>19</v>
      </c>
      <c r="B38">
        <f>('MATERIAL BALANCE'!M7)/(60*60*24)</f>
        <v>3.694502314814814E-2</v>
      </c>
      <c r="E38">
        <v>3.47</v>
      </c>
      <c r="F38">
        <v>1.45</v>
      </c>
      <c r="G38">
        <v>0</v>
      </c>
      <c r="H38">
        <v>0.121</v>
      </c>
      <c r="J38">
        <f>-E38*($B$22-$C34)</f>
        <v>3036.2500000000005</v>
      </c>
      <c r="K38" s="3">
        <f>-1*(F38*$F$8*($B$22^2-$C34^2))*(1/2)</f>
        <v>933.35593749999998</v>
      </c>
      <c r="L38" s="3">
        <f>-1*(1/3)*G38*$G$8*($B$22^3-$C$34^3)</f>
        <v>0</v>
      </c>
      <c r="M38">
        <f>-1*H38*$H$8*(1/$B$22-1/$C$34)</f>
        <v>-30.269487279700055</v>
      </c>
      <c r="O38">
        <f>SUM(J38:M38)</f>
        <v>3939.3364502203003</v>
      </c>
      <c r="P38">
        <f>O38*B38*$K$6</f>
        <v>1210.010217905166</v>
      </c>
      <c r="Q38" s="4">
        <f>SUM(P35:P38)</f>
        <v>2636.0181061094181</v>
      </c>
      <c r="R38" s="10"/>
      <c r="AB38" s="3"/>
      <c r="AC38" s="3"/>
    </row>
    <row r="39" spans="1:36" ht="15" customHeight="1">
      <c r="K39" s="3"/>
      <c r="L39" s="3"/>
      <c r="R39" s="10"/>
      <c r="T39" s="13" t="s">
        <v>60</v>
      </c>
      <c r="U39" s="16" t="s">
        <v>65</v>
      </c>
      <c r="V39" s="15"/>
      <c r="AB39" s="3"/>
      <c r="AC39" s="3"/>
    </row>
    <row r="40" spans="1:36" ht="15" customHeight="1">
      <c r="K40" s="3"/>
      <c r="L40" s="3"/>
      <c r="P40" t="s">
        <v>54</v>
      </c>
      <c r="Q40" s="9">
        <f>(Q38+Q30)+('MATERIAL BALANCE'!L13*('ENERGY BALANCE'!E24)*1000/(60*60*24))</f>
        <v>3569.6351153832029</v>
      </c>
      <c r="R40" s="10"/>
      <c r="AB40" s="3"/>
      <c r="AC40" s="3"/>
    </row>
    <row r="41" spans="1:36" ht="15" customHeight="1">
      <c r="F41" s="13" t="s">
        <v>66</v>
      </c>
      <c r="K41" s="3"/>
      <c r="L41" s="3"/>
      <c r="R41" s="10"/>
      <c r="T41" t="s">
        <v>42</v>
      </c>
      <c r="U41">
        <v>350</v>
      </c>
      <c r="V41">
        <f>273.15+U41</f>
        <v>623.15</v>
      </c>
      <c r="AB41" s="3"/>
      <c r="AC41" s="3"/>
    </row>
    <row r="42" spans="1:36" ht="15" customHeight="1">
      <c r="A42" t="s">
        <v>58</v>
      </c>
      <c r="K42" s="3"/>
      <c r="L42" s="3"/>
      <c r="R42" s="10"/>
      <c r="T42" t="s">
        <v>43</v>
      </c>
      <c r="U42">
        <v>110</v>
      </c>
      <c r="V42">
        <f>273.15+U42</f>
        <v>383.15</v>
      </c>
      <c r="AB42" s="3"/>
      <c r="AC42" s="3"/>
    </row>
    <row r="43" spans="1:36" ht="15" customHeight="1">
      <c r="D43" t="s">
        <v>59</v>
      </c>
      <c r="E43">
        <f>-36</f>
        <v>-36</v>
      </c>
      <c r="K43" s="3"/>
      <c r="L43" s="3"/>
      <c r="R43" s="10"/>
      <c r="AB43" s="3"/>
      <c r="AC43" s="3"/>
    </row>
    <row r="44" spans="1:36" ht="15" customHeight="1">
      <c r="B44">
        <v>900</v>
      </c>
      <c r="C44">
        <f>273.15+B44</f>
        <v>1173.1500000000001</v>
      </c>
      <c r="K44" s="3"/>
      <c r="L44" s="3"/>
      <c r="R44" s="10"/>
      <c r="U44" t="s">
        <v>53</v>
      </c>
      <c r="V44" t="s">
        <v>49</v>
      </c>
      <c r="W44" t="s">
        <v>50</v>
      </c>
      <c r="X44" t="s">
        <v>51</v>
      </c>
      <c r="Y44" t="s">
        <v>52</v>
      </c>
      <c r="AB44" s="3"/>
      <c r="AC44" s="3"/>
    </row>
    <row r="45" spans="1:36" ht="15" customHeight="1">
      <c r="A45" t="s">
        <v>18</v>
      </c>
      <c r="B45">
        <f>('MATERIAL BALANCE'!S7)/(24*60*60)</f>
        <v>4.8188657407407407E-3</v>
      </c>
      <c r="E45">
        <v>1.702</v>
      </c>
      <c r="F45">
        <v>9.0809999999999995</v>
      </c>
      <c r="G45">
        <v>-2.1640000000000001</v>
      </c>
      <c r="H45">
        <v>0</v>
      </c>
      <c r="J45">
        <f>E45*($B$22-$C44)</f>
        <v>-1489.2500000000002</v>
      </c>
      <c r="K45" s="3">
        <f>(F45*$F$8*($B$22^2-$C$44^2))*(1/2)</f>
        <v>-5845.3829437500008</v>
      </c>
      <c r="L45" s="3">
        <f>(1/3)*G45*$G$8*($B$22^3-$C$44^3)</f>
        <v>1145.535321545417</v>
      </c>
      <c r="M45">
        <f>H45*$H$8*(1/$B$22-1/$C$44)</f>
        <v>0</v>
      </c>
      <c r="O45">
        <f>SUM(J45:M45)</f>
        <v>-6189.0976222045838</v>
      </c>
      <c r="P45">
        <f>O45*B45*$K$6</f>
        <v>-247.96031515822406</v>
      </c>
      <c r="R45" s="10"/>
      <c r="V45">
        <v>1</v>
      </c>
      <c r="W45" s="3">
        <f>0.001</f>
        <v>1E-3</v>
      </c>
      <c r="X45">
        <f>0.000001</f>
        <v>9.9999999999999995E-7</v>
      </c>
      <c r="Y45">
        <f>100000</f>
        <v>100000</v>
      </c>
      <c r="AB45" s="3"/>
      <c r="AC45" s="3"/>
    </row>
    <row r="46" spans="1:36" ht="15" customHeight="1">
      <c r="A46" t="s">
        <v>24</v>
      </c>
      <c r="B46">
        <f>('MATERIAL BALANCE'!S8)/(24*60*60)</f>
        <v>1.1244212962962961E-2</v>
      </c>
      <c r="E46">
        <v>3.3759999999999999</v>
      </c>
      <c r="F46">
        <v>0.55700000000000005</v>
      </c>
      <c r="G46">
        <v>0</v>
      </c>
      <c r="H46">
        <v>-3.1E-2</v>
      </c>
      <c r="J46">
        <f>E46*($B$22-$C$44)</f>
        <v>-2954.0000000000005</v>
      </c>
      <c r="K46" s="3">
        <f t="shared" ref="K46:K48" si="8">(F46*$F$8*($B$22^2-$C$44^2))*(1/2)</f>
        <v>-358.53741875000009</v>
      </c>
      <c r="L46" s="3">
        <f t="shared" ref="L46:L48" si="9">(1/3)*G46*$G$8*($B$22^3-$C$44^3)</f>
        <v>0</v>
      </c>
      <c r="M46">
        <f>H46*$H$8*(1/$B$22-1/$C$44)</f>
        <v>-7.7549926088487746</v>
      </c>
      <c r="O46">
        <f>SUM(J46:M46)</f>
        <v>-3320.2924113588492</v>
      </c>
      <c r="P46">
        <f>O46*B46*$K$6</f>
        <v>-310.39549932243517</v>
      </c>
      <c r="R46" s="10"/>
      <c r="T46" t="s">
        <v>20</v>
      </c>
      <c r="V46">
        <v>3.28</v>
      </c>
      <c r="W46">
        <v>0.59299999999999997</v>
      </c>
      <c r="X46">
        <v>0</v>
      </c>
      <c r="Y46">
        <v>0.04</v>
      </c>
      <c r="AA46">
        <f t="shared" ref="AA46:AA53" si="10">V46*($V$42-$V$41)</f>
        <v>-787.19999999999993</v>
      </c>
      <c r="AB46" s="3">
        <f t="shared" ref="AB46:AB53" si="11">(W46*$W$8*($V$42^2-$V$41^2))*(1/2)</f>
        <v>-71.608307999999994</v>
      </c>
      <c r="AC46" s="3">
        <f t="shared" ref="AC46:AC53" si="12">(1/3)*X46*$X$8*($V$42^3-$V$41^3)</f>
        <v>0</v>
      </c>
      <c r="AD46">
        <f t="shared" ref="AD46:AD53" si="13">Y46*$Y$8*(1/$V$42-1/$V$41)</f>
        <v>4.0207753041132781</v>
      </c>
      <c r="AF46">
        <f t="shared" si="1"/>
        <v>-854.78753269588663</v>
      </c>
      <c r="AG46">
        <f>'MATERIAL BALANCE'!Z4/(60*60*24)</f>
        <v>1.930648148148148E-2</v>
      </c>
      <c r="AH46">
        <f t="shared" ref="AH46:AH53" si="14">AF46*AG46*8.314</f>
        <v>-137.20544042132167</v>
      </c>
    </row>
    <row r="47" spans="1:36" ht="15" customHeight="1">
      <c r="A47" t="s">
        <v>26</v>
      </c>
      <c r="B47">
        <f>('MATERIAL BALANCE'!S9)/(24*60*60)</f>
        <v>3.3732638888888881E-2</v>
      </c>
      <c r="E47">
        <v>3.2490000000000001</v>
      </c>
      <c r="F47">
        <v>0.42199999999999999</v>
      </c>
      <c r="G47">
        <v>0</v>
      </c>
      <c r="H47">
        <v>8.3000000000000004E-2</v>
      </c>
      <c r="J47">
        <f t="shared" ref="J47" si="15">E47*($B$22-$C$44)</f>
        <v>-2842.8750000000005</v>
      </c>
      <c r="K47" s="3">
        <f t="shared" si="8"/>
        <v>-271.63876249999998</v>
      </c>
      <c r="L47" s="3">
        <f t="shared" si="9"/>
        <v>0</v>
      </c>
      <c r="M47">
        <f>H47*$H$8*(1/$B$22-1/$C$44)</f>
        <v>20.763367307562849</v>
      </c>
      <c r="O47">
        <f>SUM(J47:M47)</f>
        <v>-3093.7503951924377</v>
      </c>
      <c r="P47">
        <f>O47*B47*$K$6</f>
        <v>-867.65207372359271</v>
      </c>
      <c r="R47" s="10"/>
      <c r="T47" t="s">
        <v>25</v>
      </c>
      <c r="V47">
        <v>3.6389999999999998</v>
      </c>
      <c r="W47">
        <v>0.50600000000000001</v>
      </c>
      <c r="X47">
        <v>0</v>
      </c>
      <c r="Y47">
        <v>-0.22700000000000001</v>
      </c>
      <c r="AA47">
        <f t="shared" si="10"/>
        <v>-873.3599999999999</v>
      </c>
      <c r="AB47" s="3">
        <f t="shared" si="11"/>
        <v>-61.102536000000008</v>
      </c>
      <c r="AC47" s="3">
        <f t="shared" si="12"/>
        <v>0</v>
      </c>
      <c r="AD47">
        <f t="shared" si="13"/>
        <v>-22.817899850842853</v>
      </c>
      <c r="AF47">
        <f t="shared" si="1"/>
        <v>-957.28043585084276</v>
      </c>
      <c r="AG47">
        <f>'MATERIAL BALANCE'!Z5/(60*60*24)</f>
        <v>2.9089376335470077E-3</v>
      </c>
      <c r="AH47">
        <f t="shared" si="14"/>
        <v>-23.151738778549699</v>
      </c>
    </row>
    <row r="48" spans="1:36" ht="15" customHeight="1">
      <c r="A48" t="s">
        <v>19</v>
      </c>
      <c r="B48">
        <f>('MATERIAL BALANCE'!S10)/(24*60*60)</f>
        <v>3.694502314814814E-2</v>
      </c>
      <c r="E48">
        <v>3.47</v>
      </c>
      <c r="F48">
        <v>1.45</v>
      </c>
      <c r="G48">
        <v>0</v>
      </c>
      <c r="H48">
        <v>0.121</v>
      </c>
      <c r="J48">
        <f>E48*($B$22-$C$44)</f>
        <v>-3036.2500000000005</v>
      </c>
      <c r="K48" s="3">
        <f t="shared" si="8"/>
        <v>-933.35593749999998</v>
      </c>
      <c r="L48" s="3">
        <f t="shared" si="9"/>
        <v>0</v>
      </c>
      <c r="M48">
        <f>H48*$H$8*(1/$B$22-1/$C$44)</f>
        <v>30.269487279700055</v>
      </c>
      <c r="O48">
        <f>SUM(J48:M48)</f>
        <v>-3939.3364502203003</v>
      </c>
      <c r="P48">
        <f>O48*B48*$K$6</f>
        <v>-1210.010217905166</v>
      </c>
      <c r="Q48" s="4">
        <f>SUM(P45:P48)</f>
        <v>-2636.0181061094181</v>
      </c>
      <c r="R48" s="10"/>
      <c r="T48" t="s">
        <v>18</v>
      </c>
      <c r="V48">
        <v>1.702</v>
      </c>
      <c r="W48">
        <v>9.0809999999999995</v>
      </c>
      <c r="X48">
        <v>-2.1640000000000001</v>
      </c>
      <c r="Y48">
        <v>0</v>
      </c>
      <c r="AA48">
        <f t="shared" si="10"/>
        <v>-408.48</v>
      </c>
      <c r="AB48" s="3">
        <f t="shared" si="11"/>
        <v>-1096.5852360000001</v>
      </c>
      <c r="AC48" s="3">
        <f t="shared" si="12"/>
        <v>133.97406534960001</v>
      </c>
      <c r="AD48">
        <f t="shared" si="13"/>
        <v>0</v>
      </c>
      <c r="AF48">
        <f t="shared" si="1"/>
        <v>-1371.0911706504</v>
      </c>
      <c r="AG48">
        <f>'MATERIAL BALANCE'!Z7/(60*60*24)</f>
        <v>2.4094328703703726E-4</v>
      </c>
      <c r="AH48">
        <f t="shared" si="14"/>
        <v>-2.7465732449056999</v>
      </c>
    </row>
    <row r="49" spans="1:36" ht="15" customHeight="1">
      <c r="K49" s="3"/>
      <c r="L49" s="3"/>
      <c r="R49" s="10"/>
      <c r="T49" t="s">
        <v>26</v>
      </c>
      <c r="V49">
        <v>3.2490000000000001</v>
      </c>
      <c r="W49">
        <v>0.42199999999999999</v>
      </c>
      <c r="X49">
        <v>0</v>
      </c>
      <c r="Y49">
        <v>8.3000000000000004E-2</v>
      </c>
      <c r="AA49">
        <f t="shared" si="10"/>
        <v>-779.76</v>
      </c>
      <c r="AB49" s="3">
        <f t="shared" si="11"/>
        <v>-50.959032000000001</v>
      </c>
      <c r="AC49" s="3">
        <f t="shared" si="12"/>
        <v>0</v>
      </c>
      <c r="AD49">
        <f t="shared" si="13"/>
        <v>8.3431087560350523</v>
      </c>
      <c r="AF49">
        <f t="shared" si="1"/>
        <v>-822.37592324396496</v>
      </c>
      <c r="AG49">
        <f>'MATERIAL BALANCE'!Z8/(60*60*24)</f>
        <v>5.7919512442129624E-2</v>
      </c>
      <c r="AH49">
        <f t="shared" si="14"/>
        <v>-396.00922647828247</v>
      </c>
    </row>
    <row r="50" spans="1:36" ht="15" customHeight="1">
      <c r="A50" t="s">
        <v>67</v>
      </c>
      <c r="B50">
        <v>500</v>
      </c>
      <c r="C50">
        <f>273.15+B50</f>
        <v>773.15</v>
      </c>
      <c r="K50" s="3"/>
      <c r="L50" s="3"/>
      <c r="R50" s="10"/>
      <c r="T50" t="s">
        <v>24</v>
      </c>
      <c r="V50">
        <v>3.3759999999999999</v>
      </c>
      <c r="W50">
        <v>0.55700000000000005</v>
      </c>
      <c r="X50">
        <v>0</v>
      </c>
      <c r="Y50">
        <v>-3.1E-2</v>
      </c>
      <c r="AA50">
        <f t="shared" si="10"/>
        <v>-810.24</v>
      </c>
      <c r="AB50" s="3">
        <f t="shared" si="11"/>
        <v>-67.261092000000005</v>
      </c>
      <c r="AC50" s="3">
        <f t="shared" si="12"/>
        <v>0</v>
      </c>
      <c r="AD50">
        <f t="shared" si="13"/>
        <v>-3.1161008606877902</v>
      </c>
      <c r="AF50">
        <f t="shared" si="1"/>
        <v>-880.61719286068774</v>
      </c>
      <c r="AG50">
        <f>'MATERIAL BALANCE'!Z9/(60*60*24)</f>
        <v>7.9110677083333398E-4</v>
      </c>
      <c r="AH50">
        <f t="shared" si="14"/>
        <v>-5.7920497285429526</v>
      </c>
    </row>
    <row r="51" spans="1:36" ht="15" customHeight="1">
      <c r="A51" t="s">
        <v>25</v>
      </c>
      <c r="B51">
        <f>('MATERIAL BALANCE'!S5)/(24*60*60)</f>
        <v>5.1978988603988601E-3</v>
      </c>
      <c r="E51">
        <v>3.6389999999999998</v>
      </c>
      <c r="F51">
        <v>0.50600000000000001</v>
      </c>
      <c r="G51">
        <v>0</v>
      </c>
      <c r="H51">
        <v>-0.22700000000000001</v>
      </c>
      <c r="J51">
        <f>E51*($B$22-$C$50)</f>
        <v>-1728.5249999999999</v>
      </c>
      <c r="K51" s="3">
        <f>(F51*$F$8*($B$22^2-$C$50^2))*(1/2)</f>
        <v>-128.74347750000001</v>
      </c>
      <c r="L51" s="3">
        <f>(1/3)*G51*$G$8*($B$22^3-$C$50^3)</f>
        <v>0</v>
      </c>
      <c r="M51">
        <f>H51*$H$8*(1/$B$22-1/$C$50)</f>
        <v>-46.775764349664129</v>
      </c>
      <c r="O51">
        <f>SUM(J51:M51)</f>
        <v>-1904.0442418496639</v>
      </c>
      <c r="P51">
        <f>O51*B51*$K$6</f>
        <v>-82.283902388860881</v>
      </c>
      <c r="R51" s="10"/>
      <c r="T51" t="s">
        <v>19</v>
      </c>
      <c r="V51">
        <v>3.47</v>
      </c>
      <c r="W51">
        <v>1.45</v>
      </c>
      <c r="X51">
        <v>0</v>
      </c>
      <c r="Y51">
        <v>0.121</v>
      </c>
      <c r="AA51">
        <f t="shared" si="10"/>
        <v>-832.80000000000007</v>
      </c>
      <c r="AB51" s="3">
        <f t="shared" si="11"/>
        <v>-175.09619999999998</v>
      </c>
      <c r="AC51" s="3">
        <f t="shared" si="12"/>
        <v>0</v>
      </c>
      <c r="AD51">
        <f t="shared" si="13"/>
        <v>12.162845294942665</v>
      </c>
      <c r="AF51">
        <f t="shared" si="1"/>
        <v>-995.73335470505731</v>
      </c>
      <c r="AG51">
        <f>'MATERIAL BALANCE'!Z10/(60*60*24)</f>
        <v>2.191399450231481E-2</v>
      </c>
      <c r="AH51">
        <f t="shared" si="14"/>
        <v>-181.4155975981092</v>
      </c>
    </row>
    <row r="52" spans="1:36" ht="15" customHeight="1">
      <c r="A52" t="s">
        <v>20</v>
      </c>
      <c r="B52">
        <f>('MATERIAL BALANCE'!S4)/(24*60*60)</f>
        <v>1.930648148148148E-2</v>
      </c>
      <c r="E52">
        <v>3.28</v>
      </c>
      <c r="F52">
        <v>0.59299999999999997</v>
      </c>
      <c r="G52">
        <v>0</v>
      </c>
      <c r="H52">
        <v>0.04</v>
      </c>
      <c r="J52">
        <f>E52*($B$22-$C$50)</f>
        <v>-1558</v>
      </c>
      <c r="K52" s="3">
        <f>(F52*$F$8*($B$22^2-$C$50^2))*(1/2)</f>
        <v>-150.87921374999999</v>
      </c>
      <c r="L52" s="3">
        <f>(1/3)*G52*$G$8*($B$22^3-$C$50^3)</f>
        <v>0</v>
      </c>
      <c r="M52">
        <f>H52*$H$8*(1/$B$22-1/$C$50)</f>
        <v>8.2424254360641633</v>
      </c>
      <c r="O52">
        <f>SUM(J52:M52)</f>
        <v>-1700.6367883139358</v>
      </c>
      <c r="P52">
        <f>O52*B52*$K$6</f>
        <v>-272.97616145781018</v>
      </c>
      <c r="Q52" s="4">
        <f>SUM(P51:P53)</f>
        <v>-373.82550553155897</v>
      </c>
      <c r="R52" s="10"/>
      <c r="T52" t="s">
        <v>29</v>
      </c>
      <c r="V52">
        <v>5.4569999999999999</v>
      </c>
      <c r="W52">
        <v>1.0449999999999999</v>
      </c>
      <c r="X52">
        <v>0</v>
      </c>
      <c r="Y52">
        <v>-1.157</v>
      </c>
      <c r="AA52">
        <f t="shared" si="10"/>
        <v>-1309.68</v>
      </c>
      <c r="AB52" s="3">
        <f t="shared" si="11"/>
        <v>-126.19001999999999</v>
      </c>
      <c r="AC52" s="3">
        <f t="shared" si="12"/>
        <v>0</v>
      </c>
      <c r="AD52">
        <f t="shared" si="13"/>
        <v>-116.30092567147656</v>
      </c>
      <c r="AF52">
        <f t="shared" si="1"/>
        <v>-1552.1709456714766</v>
      </c>
      <c r="AG52">
        <f>'MATERIAL BALANCE'!Z11/(60*60*24)</f>
        <v>1.5031028645833331E-2</v>
      </c>
      <c r="AH52">
        <f t="shared" si="14"/>
        <v>-193.97165552849754</v>
      </c>
    </row>
    <row r="53" spans="1:36" ht="15" customHeight="1">
      <c r="A53" t="s">
        <v>28</v>
      </c>
      <c r="B53">
        <f>('MATERIAL BALANCE'!S6)/(60*60*24)</f>
        <v>2.2662037037037035E-4</v>
      </c>
      <c r="E53">
        <v>20.786000000000001</v>
      </c>
      <c r="F53">
        <v>1.2300000000000001E-4</v>
      </c>
      <c r="G53">
        <f>-0.136</f>
        <v>-0.13600000000000001</v>
      </c>
      <c r="H53">
        <v>0</v>
      </c>
      <c r="J53">
        <f>E53*($B$22-$C$50)</f>
        <v>-9873.35</v>
      </c>
      <c r="K53" s="3">
        <f>(F53*$F$8*($B$22^2-$C$50^2))*(1/2)</f>
        <v>-3.1295351249999999E-2</v>
      </c>
      <c r="L53" s="3">
        <f>(1/3)*G53*$G$8*($B$22^3-$C$50^3)</f>
        <v>19.749706176833332</v>
      </c>
      <c r="M53">
        <f>H53*$H$8*(1/$B$22-1/$C$50)</f>
        <v>0</v>
      </c>
      <c r="O53">
        <f>SUM(J53:M53)</f>
        <v>-9853.6315891744161</v>
      </c>
      <c r="P53">
        <f>O53*B53*$K$6</f>
        <v>-18.565441684887912</v>
      </c>
      <c r="R53" s="10"/>
      <c r="T53" t="s">
        <v>28</v>
      </c>
      <c r="V53">
        <v>20.786000000000001</v>
      </c>
      <c r="W53">
        <v>0.123</v>
      </c>
      <c r="X53">
        <f>-0.136</f>
        <v>-0.13600000000000001</v>
      </c>
      <c r="Y53">
        <v>0</v>
      </c>
      <c r="AA53">
        <f t="shared" si="10"/>
        <v>-4988.6400000000003</v>
      </c>
      <c r="AB53" s="3">
        <f t="shared" si="11"/>
        <v>-14.852988000000002</v>
      </c>
      <c r="AC53" s="3">
        <f t="shared" si="12"/>
        <v>8.4198118704000002</v>
      </c>
      <c r="AD53">
        <f t="shared" si="13"/>
        <v>0</v>
      </c>
      <c r="AF53">
        <f>SUM(AA53:AD53)</f>
        <v>-4995.0731761296001</v>
      </c>
      <c r="AG53">
        <f>'MATERIAL BALANCE'!Z6/(60*60*24)</f>
        <v>2.2662037037037035E-4</v>
      </c>
      <c r="AH53">
        <f t="shared" si="14"/>
        <v>-9.4113260602380375</v>
      </c>
      <c r="AI53" s="11">
        <f>SUM(AH46:AH53)</f>
        <v>-949.70360783844728</v>
      </c>
      <c r="AJ53" t="s">
        <v>54</v>
      </c>
    </row>
    <row r="54" spans="1:36" ht="15" customHeight="1">
      <c r="K54" s="3"/>
      <c r="L54" s="3"/>
      <c r="R54" s="10"/>
      <c r="AB54" s="3"/>
      <c r="AC54" s="3"/>
      <c r="AI54" s="11"/>
    </row>
    <row r="55" spans="1:36" ht="15" customHeight="1">
      <c r="K55" s="3"/>
      <c r="L55" s="3"/>
      <c r="R55" s="10"/>
      <c r="T55" s="13" t="s">
        <v>60</v>
      </c>
      <c r="U55" s="16" t="s">
        <v>68</v>
      </c>
      <c r="V55" s="14"/>
      <c r="W55" s="15"/>
      <c r="AB55" s="3"/>
      <c r="AC55" s="3"/>
    </row>
    <row r="56" spans="1:36" ht="15" customHeight="1">
      <c r="A56" t="s">
        <v>63</v>
      </c>
      <c r="K56" s="3"/>
      <c r="L56" s="3"/>
      <c r="R56" s="10"/>
      <c r="AB56" s="3"/>
      <c r="AC56" s="3"/>
    </row>
    <row r="57" spans="1:36" ht="15" customHeight="1">
      <c r="K57" s="3"/>
      <c r="L57" s="3"/>
      <c r="R57" s="10"/>
      <c r="T57" t="s">
        <v>42</v>
      </c>
      <c r="U57">
        <v>150</v>
      </c>
      <c r="V57">
        <f>273.15+U57</f>
        <v>423.15</v>
      </c>
      <c r="AB57" s="3"/>
      <c r="AC57" s="3"/>
    </row>
    <row r="58" spans="1:36" ht="15" customHeight="1">
      <c r="A58" t="s">
        <v>69</v>
      </c>
      <c r="B58">
        <v>1000</v>
      </c>
      <c r="C58">
        <f>273.15+B58</f>
        <v>1273.1500000000001</v>
      </c>
      <c r="K58" s="3"/>
      <c r="L58" s="3"/>
      <c r="R58" s="10"/>
      <c r="T58" t="s">
        <v>43</v>
      </c>
      <c r="U58">
        <v>30</v>
      </c>
      <c r="V58">
        <f>273.15+U58</f>
        <v>303.14999999999998</v>
      </c>
      <c r="AB58" s="3"/>
      <c r="AC58" s="3"/>
    </row>
    <row r="59" spans="1:36" ht="15" customHeight="1">
      <c r="A59" t="s">
        <v>20</v>
      </c>
      <c r="B59">
        <f>('MATERIAL BALANCE'!U4)/(24*60*60)</f>
        <v>1.930648148148148E-2</v>
      </c>
      <c r="E59">
        <v>3.28</v>
      </c>
      <c r="F59">
        <v>0.59299999999999997</v>
      </c>
      <c r="G59">
        <v>0</v>
      </c>
      <c r="H59">
        <v>0.04</v>
      </c>
      <c r="J59">
        <f>-1*E59*($B$22-$C$58)</f>
        <v>3198</v>
      </c>
      <c r="K59" s="3">
        <f>-1*(F59*$F$8*($B$22^2-$C$58^2))*(1/2)</f>
        <v>454.24318875000012</v>
      </c>
      <c r="L59" s="3">
        <f>-1*(1/3)*G59*$G$8*($B$22^3-$C$58^3)</f>
        <v>0</v>
      </c>
      <c r="M59">
        <f t="shared" ref="M59:M65" si="16">-1*H59*$H$8*(1/$B$22-1/$C$58)</f>
        <v>-10.274252126814648</v>
      </c>
      <c r="O59">
        <f t="shared" ref="O59:O65" si="17">SUM(J59:M59)</f>
        <v>3641.9689366231855</v>
      </c>
      <c r="P59">
        <f t="shared" ref="P59:P65" si="18">O59*B59*$K$6</f>
        <v>584.58731887931924</v>
      </c>
      <c r="R59" s="10"/>
      <c r="AB59" s="3"/>
      <c r="AC59" s="3"/>
    </row>
    <row r="60" spans="1:36" ht="15" customHeight="1">
      <c r="A60" t="s">
        <v>25</v>
      </c>
      <c r="B60">
        <f>('MATERIAL BALANCE'!U5)/(24*60*60)</f>
        <v>2.9089376335470077E-3</v>
      </c>
      <c r="E60">
        <v>3.6389999999999998</v>
      </c>
      <c r="F60">
        <v>0.50600000000000001</v>
      </c>
      <c r="G60">
        <v>0</v>
      </c>
      <c r="H60">
        <v>-0.22700000000000001</v>
      </c>
      <c r="J60">
        <f t="shared" ref="J60:J64" si="19">-1*E60*($B$22-$C$58)</f>
        <v>3548.0250000000001</v>
      </c>
      <c r="K60" s="3">
        <f>-1*(F60*$F$8*($B$22^2-$C$58^2))*(1/2)</f>
        <v>387.60042750000014</v>
      </c>
      <c r="L60" s="3">
        <f t="shared" ref="L60:L64" si="20">-1*(1/3)*G60*$G$8*($B$22^3-$C$58^3)</f>
        <v>0</v>
      </c>
      <c r="M60">
        <f t="shared" si="16"/>
        <v>58.30638081967313</v>
      </c>
      <c r="O60">
        <f t="shared" si="17"/>
        <v>3993.9318083196731</v>
      </c>
      <c r="P60">
        <f t="shared" si="18"/>
        <v>96.592871286847455</v>
      </c>
      <c r="R60" s="10"/>
      <c r="AB60" s="3"/>
      <c r="AC60" s="3"/>
    </row>
    <row r="61" spans="1:36" ht="15" customHeight="1">
      <c r="A61" t="s">
        <v>18</v>
      </c>
      <c r="B61">
        <f>('MATERIAL BALANCE'!U7)/(24*60*60)</f>
        <v>2.4094328703703726E-4</v>
      </c>
      <c r="E61">
        <v>1.702</v>
      </c>
      <c r="F61">
        <v>9.0809999999999995</v>
      </c>
      <c r="G61">
        <v>-2.1640000000000001</v>
      </c>
      <c r="H61">
        <v>0</v>
      </c>
      <c r="J61">
        <f t="shared" si="19"/>
        <v>1659.45</v>
      </c>
      <c r="K61" s="3">
        <f t="shared" ref="K61:K64" si="21">-1*(F61*$F$8*($B$22^2-$C$58^2))*(1/2)</f>
        <v>6956.1254587500025</v>
      </c>
      <c r="L61" s="3">
        <f t="shared" si="20"/>
        <v>-1469.4708125077505</v>
      </c>
      <c r="M61">
        <f t="shared" si="16"/>
        <v>0</v>
      </c>
      <c r="O61">
        <f t="shared" si="17"/>
        <v>7146.1046462422528</v>
      </c>
      <c r="P61">
        <f t="shared" si="18"/>
        <v>14.315094609904564</v>
      </c>
      <c r="R61" s="10"/>
      <c r="T61" t="s">
        <v>20</v>
      </c>
      <c r="V61">
        <v>3.28</v>
      </c>
      <c r="W61">
        <v>0.59299999999999997</v>
      </c>
      <c r="X61">
        <v>0</v>
      </c>
      <c r="Y61">
        <v>0.04</v>
      </c>
      <c r="AA61">
        <f t="shared" ref="AA61:AA67" si="22">V61*($V$58-$V$57)</f>
        <v>-393.59999999999997</v>
      </c>
      <c r="AB61" s="3">
        <f t="shared" ref="AB61:AB67" si="23">(W61*$W$8*($V$58^2-$V$57^2))*(1/2)</f>
        <v>-25.841753999999998</v>
      </c>
      <c r="AC61" s="3">
        <f t="shared" ref="AC61:AC67" si="24">(1/3)*X61*$X$8*($V$58^3-$V$57^3)</f>
        <v>0</v>
      </c>
      <c r="AD61">
        <f t="shared" ref="AD61:AD67" si="25">Y61*$Y$8*(1/$V$58-1/$V$57)</f>
        <v>3.7418753799976781</v>
      </c>
      <c r="AF61">
        <f t="shared" si="1"/>
        <v>-415.69987862000227</v>
      </c>
      <c r="AG61">
        <f>'MATERIAL BALANCE'!AJ4/(60*60*24)</f>
        <v>1.930648148148148E-2</v>
      </c>
      <c r="AH61">
        <f t="shared" ref="AH61:AH67" si="26">AF61*AG61*8.314</f>
        <v>-66.725686498096778</v>
      </c>
    </row>
    <row r="62" spans="1:36" ht="15" customHeight="1">
      <c r="A62" t="s">
        <v>26</v>
      </c>
      <c r="B62">
        <f>('MATERIAL BALANCE'!U8)/(24*60*60)</f>
        <v>4.2888483796296291E-2</v>
      </c>
      <c r="E62">
        <v>3.2490000000000001</v>
      </c>
      <c r="F62">
        <v>0.42199999999999999</v>
      </c>
      <c r="G62">
        <v>0</v>
      </c>
      <c r="H62">
        <v>8.3000000000000004E-2</v>
      </c>
      <c r="J62">
        <f t="shared" si="19"/>
        <v>3167.7750000000005</v>
      </c>
      <c r="K62" s="3">
        <f t="shared" si="21"/>
        <v>323.25569250000012</v>
      </c>
      <c r="L62" s="3">
        <f t="shared" si="20"/>
        <v>0</v>
      </c>
      <c r="M62">
        <f t="shared" si="16"/>
        <v>-21.319073163140395</v>
      </c>
      <c r="O62">
        <f t="shared" si="17"/>
        <v>3469.7116193368602</v>
      </c>
      <c r="P62">
        <f t="shared" si="18"/>
        <v>1237.2119150670164</v>
      </c>
      <c r="R62" s="10"/>
      <c r="T62" t="s">
        <v>25</v>
      </c>
      <c r="V62">
        <v>3.6389999999999998</v>
      </c>
      <c r="W62">
        <v>0.50600000000000001</v>
      </c>
      <c r="X62">
        <v>0</v>
      </c>
      <c r="Y62">
        <v>-0.22700000000000001</v>
      </c>
      <c r="AA62">
        <f t="shared" si="22"/>
        <v>-436.67999999999995</v>
      </c>
      <c r="AB62" s="3">
        <f t="shared" si="23"/>
        <v>-22.050468000000002</v>
      </c>
      <c r="AC62" s="3">
        <f t="shared" si="24"/>
        <v>0</v>
      </c>
      <c r="AD62">
        <f t="shared" si="25"/>
        <v>-21.235142781486822</v>
      </c>
      <c r="AF62">
        <f t="shared" si="1"/>
        <v>-479.96561078148682</v>
      </c>
      <c r="AG62">
        <f>'MATERIAL BALANCE'!AJ5/(60*60*24)</f>
        <v>2.5133842481303409E-3</v>
      </c>
      <c r="AH62">
        <f t="shared" si="26"/>
        <v>-10.029494180075265</v>
      </c>
    </row>
    <row r="63" spans="1:36" ht="15" customHeight="1">
      <c r="A63" t="s">
        <v>24</v>
      </c>
      <c r="B63">
        <f>('MATERIAL BALANCE'!U9)/(24*60*60)</f>
        <v>1.5822135416666664E-2</v>
      </c>
      <c r="E63">
        <v>3.3759999999999999</v>
      </c>
      <c r="F63">
        <v>0.55700000000000005</v>
      </c>
      <c r="G63">
        <v>0</v>
      </c>
      <c r="H63">
        <v>-3.1E-2</v>
      </c>
      <c r="J63">
        <f t="shared" si="19"/>
        <v>3291.6000000000004</v>
      </c>
      <c r="K63" s="3">
        <f t="shared" si="21"/>
        <v>426.66687375000021</v>
      </c>
      <c r="L63" s="3">
        <f t="shared" si="20"/>
        <v>0</v>
      </c>
      <c r="M63">
        <f t="shared" si="16"/>
        <v>7.9625453982813523</v>
      </c>
      <c r="O63">
        <f t="shared" si="17"/>
        <v>3726.229419148282</v>
      </c>
      <c r="P63">
        <f t="shared" si="18"/>
        <v>490.16772033613631</v>
      </c>
      <c r="R63" s="10"/>
      <c r="T63" t="s">
        <v>18</v>
      </c>
      <c r="V63">
        <v>1.702</v>
      </c>
      <c r="W63">
        <v>9.0809999999999995</v>
      </c>
      <c r="X63">
        <v>-2.1640000000000001</v>
      </c>
      <c r="Y63">
        <v>0</v>
      </c>
      <c r="AA63">
        <f t="shared" si="22"/>
        <v>-204.24</v>
      </c>
      <c r="AB63" s="3">
        <f t="shared" si="23"/>
        <v>-395.73181800000003</v>
      </c>
      <c r="AC63" s="3">
        <f t="shared" si="24"/>
        <v>34.557674914799996</v>
      </c>
      <c r="AD63">
        <f t="shared" si="25"/>
        <v>0</v>
      </c>
      <c r="AF63">
        <f t="shared" si="1"/>
        <v>-565.41414308519995</v>
      </c>
      <c r="AG63">
        <f>'MATERIAL BALANCE'!AJ7/(60*60*24)</f>
        <v>2.4094328703703726E-4</v>
      </c>
      <c r="AH63">
        <f t="shared" si="26"/>
        <v>-1.1326390184194861</v>
      </c>
    </row>
    <row r="64" spans="1:36" ht="15" customHeight="1">
      <c r="A64" t="s">
        <v>19</v>
      </c>
      <c r="B64">
        <f>('MATERIAL BALANCE'!U10)/(24*60*60)</f>
        <v>3.694502314814814E-2</v>
      </c>
      <c r="E64">
        <v>3.47</v>
      </c>
      <c r="F64">
        <v>1.45</v>
      </c>
      <c r="G64">
        <v>0</v>
      </c>
      <c r="H64">
        <v>0.121</v>
      </c>
      <c r="J64">
        <f t="shared" si="19"/>
        <v>3383.2500000000005</v>
      </c>
      <c r="K64" s="3">
        <f t="shared" si="21"/>
        <v>1110.7126875000004</v>
      </c>
      <c r="L64" s="3">
        <f t="shared" si="20"/>
        <v>0</v>
      </c>
      <c r="M64">
        <f t="shared" si="16"/>
        <v>-31.079612683614311</v>
      </c>
      <c r="O64">
        <f t="shared" si="17"/>
        <v>4462.8830748163873</v>
      </c>
      <c r="P64">
        <f t="shared" si="18"/>
        <v>1370.8232820636229</v>
      </c>
      <c r="Q64" s="4">
        <f>SUM(P59:P65)</f>
        <v>3831.7086498440658</v>
      </c>
      <c r="R64" s="10"/>
      <c r="T64" t="s">
        <v>26</v>
      </c>
      <c r="V64">
        <v>3.2490000000000001</v>
      </c>
      <c r="W64">
        <v>0.42199999999999999</v>
      </c>
      <c r="X64">
        <v>0</v>
      </c>
      <c r="Y64">
        <v>8.3000000000000004E-2</v>
      </c>
      <c r="AA64">
        <f t="shared" si="22"/>
        <v>-389.88</v>
      </c>
      <c r="AB64" s="3">
        <f t="shared" si="23"/>
        <v>-18.389915999999999</v>
      </c>
      <c r="AC64" s="3">
        <f t="shared" si="24"/>
        <v>0</v>
      </c>
      <c r="AD64">
        <f t="shared" si="25"/>
        <v>7.7643914134951819</v>
      </c>
      <c r="AF64">
        <f t="shared" si="1"/>
        <v>-400.50552458650481</v>
      </c>
      <c r="AG64">
        <f>'MATERIAL BALANCE'!AJ8/(60*60*24)</f>
        <v>5.7919512442129624E-2</v>
      </c>
      <c r="AH64">
        <f t="shared" si="26"/>
        <v>-192.86056231576868</v>
      </c>
    </row>
    <row r="65" spans="1:36" ht="15" customHeight="1">
      <c r="A65" t="s">
        <v>28</v>
      </c>
      <c r="B65">
        <f>('MATERIAL BALANCE'!U6)/(24*60*60)</f>
        <v>2.2662037037037035E-4</v>
      </c>
      <c r="E65">
        <v>20.786000000000001</v>
      </c>
      <c r="F65">
        <v>1.2300000000000001E-4</v>
      </c>
      <c r="G65">
        <f>-0.136</f>
        <v>-0.13600000000000001</v>
      </c>
      <c r="H65">
        <v>0</v>
      </c>
      <c r="J65">
        <f>-1*E65*($B$22-$C$58)</f>
        <v>20266.350000000002</v>
      </c>
      <c r="K65" s="3">
        <f>-1*(F65*$F$8*($B$22^2-$C$58^2))*(1/2)</f>
        <v>9.4219076250000033E-2</v>
      </c>
      <c r="L65" s="3">
        <f>-1*(1/3)*G65*$G$8*($B$22^3-$C$58^3)</f>
        <v>-92.351215573500028</v>
      </c>
      <c r="M65">
        <f t="shared" si="16"/>
        <v>0</v>
      </c>
      <c r="O65">
        <f t="shared" si="17"/>
        <v>20174.093003502752</v>
      </c>
      <c r="P65">
        <f t="shared" si="18"/>
        <v>38.010447601219518</v>
      </c>
      <c r="R65" s="10"/>
      <c r="T65" t="s">
        <v>70</v>
      </c>
      <c r="V65">
        <v>3.3759999999999999</v>
      </c>
      <c r="W65">
        <v>0.55700000000000005</v>
      </c>
      <c r="X65">
        <v>0</v>
      </c>
      <c r="Y65">
        <v>-3.1E-2</v>
      </c>
      <c r="AA65">
        <f t="shared" si="22"/>
        <v>-405.12</v>
      </c>
      <c r="AB65" s="3">
        <f t="shared" si="23"/>
        <v>-24.272946000000005</v>
      </c>
      <c r="AC65" s="3">
        <f t="shared" si="24"/>
        <v>0</v>
      </c>
      <c r="AD65">
        <f t="shared" si="25"/>
        <v>-2.8999534194982002</v>
      </c>
      <c r="AF65">
        <f t="shared" si="1"/>
        <v>-432.29289941949821</v>
      </c>
      <c r="AG65">
        <f>'MATERIAL BALANCE'!AJ9/(60*60*24)</f>
        <v>7.9110677083333398E-4</v>
      </c>
      <c r="AH65">
        <f t="shared" si="26"/>
        <v>-2.8433035273816847</v>
      </c>
    </row>
    <row r="66" spans="1:36" ht="15" customHeight="1">
      <c r="P66" t="s">
        <v>54</v>
      </c>
      <c r="Q66" s="8">
        <f>(Q64+Q52+Q48)+(E43*('MATERIAL BALANCE'!T14)*1000/(60*60*24))</f>
        <v>657.05982986975539</v>
      </c>
      <c r="R66" s="10"/>
      <c r="T66" t="s">
        <v>19</v>
      </c>
      <c r="U66">
        <f>-42.8*B173*1000</f>
        <v>-294.59093865740726</v>
      </c>
      <c r="V66">
        <v>3.47</v>
      </c>
      <c r="W66">
        <v>1.45</v>
      </c>
      <c r="X66">
        <v>0</v>
      </c>
      <c r="Y66">
        <v>0.121</v>
      </c>
      <c r="AA66">
        <f t="shared" si="22"/>
        <v>-416.40000000000003</v>
      </c>
      <c r="AB66" s="3">
        <f t="shared" si="23"/>
        <v>-63.188099999999999</v>
      </c>
      <c r="AC66" s="3">
        <f t="shared" si="24"/>
        <v>0</v>
      </c>
      <c r="AD66">
        <f t="shared" si="25"/>
        <v>11.319173024492976</v>
      </c>
      <c r="AF66">
        <f t="shared" si="1"/>
        <v>-468.2689269755071</v>
      </c>
      <c r="AG66">
        <f>'MATERIAL BALANCE'!AJ10/(60*60*24)</f>
        <v>6.8829658564814782E-3</v>
      </c>
      <c r="AH66">
        <f t="shared" si="26"/>
        <v>-26.796679105500495</v>
      </c>
    </row>
    <row r="67" spans="1:36" ht="15" customHeight="1">
      <c r="R67" s="10"/>
      <c r="T67" t="s">
        <v>28</v>
      </c>
      <c r="V67">
        <v>20.786000000000001</v>
      </c>
      <c r="W67">
        <v>0.123</v>
      </c>
      <c r="X67">
        <f>-0.136</f>
        <v>-0.13600000000000001</v>
      </c>
      <c r="Y67">
        <v>0</v>
      </c>
      <c r="AA67">
        <f t="shared" si="22"/>
        <v>-2494.3200000000002</v>
      </c>
      <c r="AB67" s="3">
        <f t="shared" si="23"/>
        <v>-5.3600940000000001</v>
      </c>
      <c r="AC67" s="3">
        <f t="shared" si="24"/>
        <v>2.1718316951999999</v>
      </c>
      <c r="AD67">
        <f t="shared" si="25"/>
        <v>0</v>
      </c>
      <c r="AF67">
        <f>SUM(AA67:AD67)</f>
        <v>-2497.5082623048002</v>
      </c>
      <c r="AG67">
        <f>'MATERIAL BALANCE'!AJ6/(60*60*24)</f>
        <v>2.2662037037037035E-4</v>
      </c>
      <c r="AH67">
        <f t="shared" si="26"/>
        <v>-4.7056096609382552</v>
      </c>
      <c r="AI67" s="11">
        <f>SUM(AH61:AH67)+U66</f>
        <v>-599.68491296358798</v>
      </c>
      <c r="AJ67" t="s">
        <v>54</v>
      </c>
    </row>
    <row r="68" spans="1:36" ht="15" customHeight="1">
      <c r="F68" s="13" t="s">
        <v>71</v>
      </c>
      <c r="R68" s="10"/>
      <c r="AB68" s="3"/>
      <c r="AC68" s="3"/>
      <c r="AI68" s="11"/>
    </row>
    <row r="69" spans="1:36" ht="15" customHeight="1">
      <c r="R69" s="10"/>
      <c r="T69" s="13" t="s">
        <v>60</v>
      </c>
      <c r="U69" s="17" t="s">
        <v>72</v>
      </c>
    </row>
    <row r="70" spans="1:36" ht="15" customHeight="1">
      <c r="A70" t="s">
        <v>58</v>
      </c>
      <c r="D70" t="s">
        <v>59</v>
      </c>
      <c r="E70">
        <f>-41</f>
        <v>-41</v>
      </c>
      <c r="R70" s="10"/>
    </row>
    <row r="71" spans="1:36" ht="15" customHeight="1">
      <c r="R71" s="10"/>
      <c r="T71" t="s">
        <v>42</v>
      </c>
      <c r="U71">
        <v>450</v>
      </c>
      <c r="V71">
        <f>U71+273.15</f>
        <v>723.15</v>
      </c>
    </row>
    <row r="72" spans="1:36" ht="15" customHeight="1">
      <c r="B72">
        <v>350</v>
      </c>
      <c r="C72">
        <f>273.15+B72</f>
        <v>623.15</v>
      </c>
      <c r="K72" s="3"/>
      <c r="L72" s="3"/>
      <c r="R72" s="10"/>
      <c r="T72" t="s">
        <v>43</v>
      </c>
      <c r="U72">
        <v>-20</v>
      </c>
      <c r="V72">
        <f>U72+273.15</f>
        <v>253.14999999999998</v>
      </c>
    </row>
    <row r="73" spans="1:36" ht="15" customHeight="1">
      <c r="A73" t="s">
        <v>20</v>
      </c>
      <c r="B73">
        <f>('MATERIAL BALANCE'!X4)/(60*24*60)</f>
        <v>1.930648148148148E-2</v>
      </c>
      <c r="E73">
        <v>3.28</v>
      </c>
      <c r="F73">
        <v>0.59299999999999997</v>
      </c>
      <c r="G73">
        <v>0</v>
      </c>
      <c r="H73">
        <v>0.04</v>
      </c>
      <c r="J73">
        <f t="shared" ref="J73:J79" si="27">E73*($B$22-$C$72)</f>
        <v>-1066</v>
      </c>
      <c r="K73" s="3">
        <f t="shared" ref="K73:K79" si="28">(F73*$F$8*($B$22^2-$C$72^2))*(1/2)</f>
        <v>-88.778771250000005</v>
      </c>
      <c r="L73" s="3">
        <f t="shared" ref="L73:L79" si="29">(1/3)*G73*$G$8*($B$22^3-$C$72^3)</f>
        <v>0</v>
      </c>
      <c r="M73">
        <f t="shared" ref="M73:M79" si="30">H73*$H$8*(1/$B$22-1/$C$72)</f>
        <v>6.9970654980096123</v>
      </c>
      <c r="O73">
        <f t="shared" ref="O73:O79" si="31">SUM(J73:M73)</f>
        <v>-1147.7817057519906</v>
      </c>
      <c r="P73">
        <f t="shared" ref="P73:P79" si="32">O73*B73*$K$6</f>
        <v>-184.23513261659383</v>
      </c>
      <c r="R73" s="10"/>
    </row>
    <row r="74" spans="1:36" ht="15" customHeight="1">
      <c r="A74" t="s">
        <v>25</v>
      </c>
      <c r="B74">
        <f>('MATERIAL BALANCE'!X5)/(60*24*60)</f>
        <v>2.9089376335470077E-3</v>
      </c>
      <c r="E74">
        <v>3.6389999999999998</v>
      </c>
      <c r="F74">
        <v>0.50600000000000001</v>
      </c>
      <c r="G74">
        <v>0</v>
      </c>
      <c r="H74">
        <v>-0.22700000000000001</v>
      </c>
      <c r="J74">
        <f t="shared" si="27"/>
        <v>-1182.675</v>
      </c>
      <c r="K74" s="3">
        <f t="shared" si="28"/>
        <v>-75.753892500000006</v>
      </c>
      <c r="L74" s="3">
        <f t="shared" si="29"/>
        <v>0</v>
      </c>
      <c r="M74">
        <f t="shared" si="30"/>
        <v>-39.708346701204547</v>
      </c>
      <c r="O74">
        <f t="shared" si="31"/>
        <v>-1298.1372392012047</v>
      </c>
      <c r="P74">
        <f t="shared" si="32"/>
        <v>-31.395329033316642</v>
      </c>
      <c r="R74" s="10"/>
    </row>
    <row r="75" spans="1:36" ht="15" customHeight="1">
      <c r="A75" t="s">
        <v>18</v>
      </c>
      <c r="B75">
        <f>('MATERIAL BALANCE'!X7)/(60*24*60)</f>
        <v>2.4094328703703726E-4</v>
      </c>
      <c r="E75">
        <v>1.702</v>
      </c>
      <c r="F75">
        <v>9.0809999999999995</v>
      </c>
      <c r="G75">
        <v>-2.1640000000000001</v>
      </c>
      <c r="H75">
        <v>0</v>
      </c>
      <c r="J75">
        <f t="shared" si="27"/>
        <v>-553.15</v>
      </c>
      <c r="K75" s="3">
        <f t="shared" si="28"/>
        <v>-1359.5278612500001</v>
      </c>
      <c r="L75" s="3">
        <f t="shared" si="29"/>
        <v>155.42965575258336</v>
      </c>
      <c r="M75">
        <f t="shared" si="30"/>
        <v>0</v>
      </c>
      <c r="O75">
        <f t="shared" si="31"/>
        <v>-1757.2482054974168</v>
      </c>
      <c r="P75">
        <f t="shared" si="32"/>
        <v>-3.5201239780344213</v>
      </c>
      <c r="R75" s="10"/>
      <c r="T75" t="s">
        <v>20</v>
      </c>
      <c r="V75">
        <f>V61</f>
        <v>3.28</v>
      </c>
      <c r="W75">
        <f>W61</f>
        <v>0.59299999999999997</v>
      </c>
      <c r="X75">
        <f>X61</f>
        <v>0</v>
      </c>
      <c r="Y75">
        <f>Y61</f>
        <v>0.04</v>
      </c>
      <c r="AA75">
        <f>V75*($V$72-$V$71)</f>
        <v>-1541.6</v>
      </c>
      <c r="AB75" s="3">
        <f>W75*$W$8*($V$72^2-$V$71^2)*(1/2)</f>
        <v>-136.05228650000001</v>
      </c>
      <c r="AC75">
        <f>(1/3)*X75*$X$8*($V$72^3-$V$71^3)</f>
        <v>0</v>
      </c>
      <c r="AD75">
        <f>Y75*$Y$8*(1/$V$72-1/$V$71)</f>
        <v>10.269552678633236</v>
      </c>
      <c r="AF75">
        <f>SUM(AA75:AD75)</f>
        <v>-1667.3827338213666</v>
      </c>
      <c r="AG75">
        <f>'MATERIAL BALANCE'!AW4/(60*60*24)</f>
        <v>0.10637935729847493</v>
      </c>
      <c r="AH75">
        <f>AF75*AG75*8.314</f>
        <v>-1474.6966112845989</v>
      </c>
    </row>
    <row r="76" spans="1:36" ht="15" customHeight="1">
      <c r="A76" t="s">
        <v>26</v>
      </c>
      <c r="B76">
        <f>('MATERIAL BALANCE'!X8)/(60*24*60)</f>
        <v>4.2888483796296291E-2</v>
      </c>
      <c r="E76">
        <v>3.2490000000000001</v>
      </c>
      <c r="F76">
        <v>0.42199999999999999</v>
      </c>
      <c r="G76">
        <v>0</v>
      </c>
      <c r="H76">
        <v>8.3000000000000004E-2</v>
      </c>
      <c r="J76">
        <f t="shared" si="27"/>
        <v>-1055.925</v>
      </c>
      <c r="K76" s="3">
        <f t="shared" si="28"/>
        <v>-63.178147500000001</v>
      </c>
      <c r="L76" s="3">
        <f t="shared" si="29"/>
        <v>0</v>
      </c>
      <c r="M76">
        <f t="shared" si="30"/>
        <v>14.518910908369945</v>
      </c>
      <c r="O76">
        <f t="shared" si="31"/>
        <v>-1104.5842365916301</v>
      </c>
      <c r="P76">
        <f t="shared" si="32"/>
        <v>-393.86696320530467</v>
      </c>
      <c r="R76" s="10"/>
      <c r="T76" t="s">
        <v>26</v>
      </c>
      <c r="V76">
        <f>V64</f>
        <v>3.2490000000000001</v>
      </c>
      <c r="W76">
        <f>W64</f>
        <v>0.42199999999999999</v>
      </c>
      <c r="X76">
        <f>X64</f>
        <v>0</v>
      </c>
      <c r="Y76">
        <f>Y64</f>
        <v>8.3000000000000004E-2</v>
      </c>
      <c r="AA76">
        <f>V76*($V$72-$V$71)</f>
        <v>-1527.03</v>
      </c>
      <c r="AB76" s="3">
        <f>W76*$W$8*($V$72^2-$V$71^2)*(1/2)</f>
        <v>-96.819671</v>
      </c>
      <c r="AC76">
        <f>(1/3)*X76*$X$8*($V$72^3-$V$71^3)</f>
        <v>0</v>
      </c>
      <c r="AD76">
        <f>Y76*$Y$8*(1/$V$72-1/$V$71)</f>
        <v>21.309321808163965</v>
      </c>
      <c r="AF76">
        <f>SUM(AA76:AD76)</f>
        <v>-1602.540349191836</v>
      </c>
      <c r="AG76">
        <f>'MATERIAL BALANCE'!AW5/(60*60*24)</f>
        <v>0.31913807189542481</v>
      </c>
      <c r="AH76">
        <f>AF76*AG76*8.314</f>
        <v>-4252.0426314787974</v>
      </c>
    </row>
    <row r="77" spans="1:36" ht="15" customHeight="1">
      <c r="A77" t="s">
        <v>24</v>
      </c>
      <c r="B77">
        <f>('MATERIAL BALANCE'!X9)/(60*24*60)</f>
        <v>1.5822135416666664E-2</v>
      </c>
      <c r="E77">
        <v>3.3759999999999999</v>
      </c>
      <c r="F77">
        <v>0.55700000000000005</v>
      </c>
      <c r="G77">
        <v>0</v>
      </c>
      <c r="H77">
        <v>-3.1E-2</v>
      </c>
      <c r="J77">
        <f t="shared" si="27"/>
        <v>-1097.2</v>
      </c>
      <c r="K77" s="3">
        <f t="shared" si="28"/>
        <v>-83.389166250000017</v>
      </c>
      <c r="L77" s="3">
        <f t="shared" si="29"/>
        <v>0</v>
      </c>
      <c r="M77">
        <f t="shared" si="30"/>
        <v>-5.4227257609574497</v>
      </c>
      <c r="O77">
        <f t="shared" si="31"/>
        <v>-1186.0118920109576</v>
      </c>
      <c r="P77">
        <f t="shared" si="32"/>
        <v>-156.01421168840406</v>
      </c>
      <c r="R77" s="10"/>
      <c r="T77" t="s">
        <v>21</v>
      </c>
      <c r="U77">
        <f>-23.5*B191*1000</f>
        <v>-799.97276688453155</v>
      </c>
      <c r="V77">
        <v>29.75</v>
      </c>
      <c r="W77">
        <v>2.54</v>
      </c>
      <c r="X77">
        <f>-1.226</f>
        <v>-1.226</v>
      </c>
      <c r="Y77">
        <f>7.55</f>
        <v>7.55</v>
      </c>
      <c r="AA77">
        <f>V77*($V$72-$V$71)</f>
        <v>-13982.5</v>
      </c>
      <c r="AB77" s="3">
        <f>W77*$W$8*($V$72^2-$V$71^2)*(1/2)</f>
        <v>-582.75346999999999</v>
      </c>
      <c r="AC77">
        <f>(1/3)*X77*$X$8*($V$72^3-$V$71^3)</f>
        <v>147.91495708628329</v>
      </c>
      <c r="AD77">
        <f>Y77*$Y$8*(1/$V$72-1/$V$71)</f>
        <v>1938.3780680920233</v>
      </c>
      <c r="AF77">
        <f>SUM(AA77:AD77)+U77</f>
        <v>-13278.933211706226</v>
      </c>
      <c r="AG77">
        <f>'MATERIAL BALANCE'!BG5/(60*60*24)</f>
        <v>3.4041394335511982E-2</v>
      </c>
      <c r="AH77">
        <f>AF77*AG77*8.314</f>
        <v>-3758.205702686736</v>
      </c>
    </row>
    <row r="78" spans="1:36" ht="15" customHeight="1">
      <c r="A78" t="s">
        <v>19</v>
      </c>
      <c r="B78">
        <f>('MATERIAL BALANCE'!X10)/(60*24*60)</f>
        <v>3.694502314814814E-2</v>
      </c>
      <c r="E78">
        <v>3.47</v>
      </c>
      <c r="F78">
        <v>1.45</v>
      </c>
      <c r="G78">
        <v>0</v>
      </c>
      <c r="H78">
        <v>0.121</v>
      </c>
      <c r="J78">
        <f t="shared" si="27"/>
        <v>-1127.75</v>
      </c>
      <c r="K78" s="3">
        <f t="shared" si="28"/>
        <v>-217.0813125</v>
      </c>
      <c r="L78" s="3">
        <f t="shared" si="29"/>
        <v>0</v>
      </c>
      <c r="M78">
        <f t="shared" si="30"/>
        <v>21.166123131479075</v>
      </c>
      <c r="O78">
        <f t="shared" si="31"/>
        <v>-1323.6651893685209</v>
      </c>
      <c r="P78">
        <f t="shared" si="32"/>
        <v>-406.5782205862912</v>
      </c>
      <c r="Q78" s="4">
        <f>SUM(P73:P79)</f>
        <v>-1188.3197016213687</v>
      </c>
      <c r="R78" s="10"/>
      <c r="T78" t="s">
        <v>28</v>
      </c>
      <c r="V78">
        <v>20.786000000000001</v>
      </c>
      <c r="W78">
        <v>0.123</v>
      </c>
      <c r="X78">
        <f>-0.136</f>
        <v>-0.13600000000000001</v>
      </c>
      <c r="Y78">
        <v>0</v>
      </c>
      <c r="AA78">
        <f>V78*($V$72-$V$71)</f>
        <v>-9769.42</v>
      </c>
      <c r="AB78" s="3">
        <f>W78*$W$8*($V$72^2-$V$71^2)*(1/2)</f>
        <v>-28.219951500000001</v>
      </c>
      <c r="AC78">
        <f>(1/3)*X78*$X$8*($V$72^3-$V$71^3)</f>
        <v>16.408184472866665</v>
      </c>
      <c r="AD78">
        <f>Y78*$Y$8*(1/$V$72-1/$V$71)</f>
        <v>0</v>
      </c>
      <c r="AF78">
        <f>SUM(AA78:AD78)+U78</f>
        <v>-9781.2317670271332</v>
      </c>
      <c r="AG78">
        <f>'MATERIAL BALANCE'!AW6/(60*60*24)</f>
        <v>1.2464120370370368E-3</v>
      </c>
      <c r="AH78">
        <f>AF78*AG78*8.314</f>
        <v>-101.35967382537542</v>
      </c>
      <c r="AI78" s="11">
        <f>SUM(AH75:AH78)+U77</f>
        <v>-10386.27738616004</v>
      </c>
      <c r="AJ78" t="s">
        <v>54</v>
      </c>
    </row>
    <row r="79" spans="1:36" ht="15" customHeight="1">
      <c r="A79" t="s">
        <v>28</v>
      </c>
      <c r="B79">
        <f>('MATERIAL BALANCE'!X6)/(60*24*60)</f>
        <v>2.2662037037037035E-4</v>
      </c>
      <c r="E79">
        <v>20.786000000000001</v>
      </c>
      <c r="F79">
        <v>1.2300000000000001E-4</v>
      </c>
      <c r="G79">
        <f>-0.136</f>
        <v>-0.13600000000000001</v>
      </c>
      <c r="H79">
        <v>0</v>
      </c>
      <c r="J79">
        <f t="shared" si="27"/>
        <v>-6755.4500000000007</v>
      </c>
      <c r="K79" s="3">
        <f t="shared" si="28"/>
        <v>-1.8414483750000002E-2</v>
      </c>
      <c r="L79" s="3">
        <f t="shared" si="29"/>
        <v>9.7682223578333343</v>
      </c>
      <c r="M79">
        <f t="shared" si="30"/>
        <v>0</v>
      </c>
      <c r="O79">
        <f t="shared" si="31"/>
        <v>-6745.700192125918</v>
      </c>
      <c r="P79">
        <f t="shared" si="32"/>
        <v>-12.709720513423807</v>
      </c>
      <c r="R79" s="10"/>
    </row>
    <row r="80" spans="1:36" ht="15" customHeight="1">
      <c r="R80" s="10"/>
    </row>
    <row r="81" spans="1:22" ht="15" customHeight="1">
      <c r="A81" t="s">
        <v>63</v>
      </c>
      <c r="R81" s="10"/>
    </row>
    <row r="82" spans="1:22" ht="15" customHeight="1">
      <c r="R82" s="10"/>
    </row>
    <row r="83" spans="1:22" ht="15" customHeight="1">
      <c r="A83" t="s">
        <v>73</v>
      </c>
      <c r="B83">
        <v>350</v>
      </c>
      <c r="C83">
        <f>273.15+B83</f>
        <v>623.15</v>
      </c>
      <c r="R83" s="10"/>
      <c r="T83" t="s">
        <v>74</v>
      </c>
      <c r="V83">
        <f>AI78+AI67+AI53+AI37+AI22+AI10+Q19+Q40+Q66+Q93+Q127+Q152+Q194</f>
        <v>-11622.671836587358</v>
      </c>
    </row>
    <row r="84" spans="1:22" ht="15" customHeight="1">
      <c r="R84" s="10"/>
    </row>
    <row r="85" spans="1:22" ht="15" customHeight="1">
      <c r="A85" t="s">
        <v>20</v>
      </c>
      <c r="B85">
        <f>('MATERIAL BALANCE'!Z4)/(24*60*60)</f>
        <v>1.930648148148148E-2</v>
      </c>
      <c r="E85">
        <v>3.28</v>
      </c>
      <c r="F85">
        <v>0.59299999999999997</v>
      </c>
      <c r="G85">
        <v>0</v>
      </c>
      <c r="H85">
        <v>0.04</v>
      </c>
      <c r="J85">
        <f t="shared" ref="J85:J92" si="33">-1*E85*($B$22-$C$83)</f>
        <v>1066</v>
      </c>
      <c r="K85" s="3">
        <f t="shared" ref="K85:K92" si="34">-1*(F85*$F$8*($B$22^2-$C$83^2))*(1/2)</f>
        <v>88.778771250000005</v>
      </c>
      <c r="L85" s="3">
        <f t="shared" ref="L85:L92" si="35">-1*(1/3)*G85*$G$8*($B$22^3-$C$83^3)</f>
        <v>0</v>
      </c>
      <c r="M85">
        <f t="shared" ref="M85:M92" si="36">-1*H85*$H$8*(1/$B$22-1/$C$83)</f>
        <v>-6.9970654980096123</v>
      </c>
      <c r="O85">
        <f t="shared" ref="O85:O92" si="37">SUM(J85:M85)</f>
        <v>1147.7817057519906</v>
      </c>
      <c r="P85">
        <f t="shared" ref="P85:P92" si="38">O85*B85*$K$6</f>
        <v>184.23513261659383</v>
      </c>
      <c r="R85" s="10"/>
    </row>
    <row r="86" spans="1:22" ht="15" customHeight="1">
      <c r="A86" t="s">
        <v>25</v>
      </c>
      <c r="B86">
        <f>('MATERIAL BALANCE'!Z5)/(24*60*60)</f>
        <v>2.9089376335470077E-3</v>
      </c>
      <c r="E86">
        <v>3.6389999999999998</v>
      </c>
      <c r="F86">
        <v>0.50600000000000001</v>
      </c>
      <c r="G86">
        <v>0</v>
      </c>
      <c r="H86">
        <v>-0.22700000000000001</v>
      </c>
      <c r="J86">
        <f t="shared" si="33"/>
        <v>1182.675</v>
      </c>
      <c r="K86" s="3">
        <f t="shared" si="34"/>
        <v>75.753892500000006</v>
      </c>
      <c r="L86" s="3">
        <f t="shared" si="35"/>
        <v>0</v>
      </c>
      <c r="M86">
        <f t="shared" si="36"/>
        <v>39.708346701204547</v>
      </c>
      <c r="O86">
        <f t="shared" si="37"/>
        <v>1298.1372392012047</v>
      </c>
      <c r="P86">
        <f t="shared" si="38"/>
        <v>31.395329033316642</v>
      </c>
      <c r="R86" s="10"/>
    </row>
    <row r="87" spans="1:22" ht="15" customHeight="1">
      <c r="A87" t="s">
        <v>18</v>
      </c>
      <c r="B87">
        <f>('MATERIAL BALANCE'!Z7)/(24*60*60)</f>
        <v>2.4094328703703726E-4</v>
      </c>
      <c r="E87">
        <v>1.702</v>
      </c>
      <c r="F87">
        <v>9.0809999999999995</v>
      </c>
      <c r="G87">
        <v>-2.1640000000000001</v>
      </c>
      <c r="H87">
        <v>0</v>
      </c>
      <c r="J87">
        <f t="shared" si="33"/>
        <v>553.15</v>
      </c>
      <c r="K87" s="3">
        <f t="shared" si="34"/>
        <v>1359.5278612500001</v>
      </c>
      <c r="L87" s="3">
        <f t="shared" si="35"/>
        <v>-155.42965575258336</v>
      </c>
      <c r="M87">
        <f t="shared" si="36"/>
        <v>0</v>
      </c>
      <c r="O87">
        <f t="shared" si="37"/>
        <v>1757.2482054974168</v>
      </c>
      <c r="P87">
        <f t="shared" si="38"/>
        <v>3.5201239780344213</v>
      </c>
      <c r="R87" s="10"/>
    </row>
    <row r="88" spans="1:22" ht="15" customHeight="1">
      <c r="A88" t="s">
        <v>26</v>
      </c>
      <c r="B88">
        <f>('MATERIAL BALANCE'!Z8)/(24*60*60)</f>
        <v>5.7919512442129624E-2</v>
      </c>
      <c r="E88">
        <v>3.2490000000000001</v>
      </c>
      <c r="F88">
        <v>0.42199999999999999</v>
      </c>
      <c r="G88">
        <v>0</v>
      </c>
      <c r="H88">
        <v>8.3000000000000004E-2</v>
      </c>
      <c r="J88">
        <f t="shared" si="33"/>
        <v>1055.925</v>
      </c>
      <c r="K88" s="3">
        <f t="shared" si="34"/>
        <v>63.178147500000001</v>
      </c>
      <c r="L88" s="3">
        <f t="shared" si="35"/>
        <v>0</v>
      </c>
      <c r="M88">
        <f t="shared" si="36"/>
        <v>-14.518910908369945</v>
      </c>
      <c r="O88">
        <f t="shared" si="37"/>
        <v>1104.5842365916301</v>
      </c>
      <c r="P88">
        <f t="shared" si="38"/>
        <v>531.90461533367318</v>
      </c>
      <c r="R88" s="10"/>
    </row>
    <row r="89" spans="1:22" ht="15" customHeight="1">
      <c r="A89" t="s">
        <v>24</v>
      </c>
      <c r="B89">
        <f>('MATERIAL BALANCE'!Z9)/(24*60*60)</f>
        <v>7.9110677083333398E-4</v>
      </c>
      <c r="E89">
        <v>3.3759999999999999</v>
      </c>
      <c r="F89">
        <v>0.55700000000000005</v>
      </c>
      <c r="G89">
        <v>0</v>
      </c>
      <c r="H89">
        <v>-3.1E-2</v>
      </c>
      <c r="J89">
        <f t="shared" si="33"/>
        <v>1097.2</v>
      </c>
      <c r="K89" s="3">
        <f t="shared" si="34"/>
        <v>83.389166250000017</v>
      </c>
      <c r="L89" s="3">
        <f t="shared" si="35"/>
        <v>0</v>
      </c>
      <c r="M89">
        <f t="shared" si="36"/>
        <v>5.4227257609574497</v>
      </c>
      <c r="O89">
        <f t="shared" si="37"/>
        <v>1186.0118920109576</v>
      </c>
      <c r="P89">
        <f t="shared" si="38"/>
        <v>7.8007105844202105</v>
      </c>
      <c r="R89" s="10"/>
    </row>
    <row r="90" spans="1:22" ht="15" customHeight="1">
      <c r="A90" t="s">
        <v>19</v>
      </c>
      <c r="B90">
        <f>('MATERIAL BALANCE'!Z10)/(24*60*60)</f>
        <v>2.191399450231481E-2</v>
      </c>
      <c r="E90">
        <v>3.47</v>
      </c>
      <c r="F90">
        <v>1.45</v>
      </c>
      <c r="G90">
        <v>0</v>
      </c>
      <c r="H90">
        <v>0.121</v>
      </c>
      <c r="J90">
        <f t="shared" si="33"/>
        <v>1127.75</v>
      </c>
      <c r="K90" s="3">
        <f t="shared" si="34"/>
        <v>217.0813125</v>
      </c>
      <c r="L90" s="3">
        <f t="shared" si="35"/>
        <v>0</v>
      </c>
      <c r="M90">
        <f t="shared" si="36"/>
        <v>-21.166123131479075</v>
      </c>
      <c r="O90">
        <f t="shared" si="37"/>
        <v>1323.6651893685209</v>
      </c>
      <c r="P90">
        <f t="shared" si="38"/>
        <v>241.16246605019444</v>
      </c>
      <c r="R90" s="10"/>
    </row>
    <row r="91" spans="1:22" ht="15" customHeight="1">
      <c r="A91" t="s">
        <v>29</v>
      </c>
      <c r="B91">
        <f>('MATERIAL BALANCE'!Z11)/(24*60*60)</f>
        <v>1.5031028645833331E-2</v>
      </c>
      <c r="E91">
        <v>5.4569999999999999</v>
      </c>
      <c r="F91">
        <v>1.0449999999999999</v>
      </c>
      <c r="G91">
        <v>0</v>
      </c>
      <c r="H91">
        <v>-1.157</v>
      </c>
      <c r="J91">
        <f t="shared" si="33"/>
        <v>1773.5249999999999</v>
      </c>
      <c r="K91" s="3">
        <f t="shared" si="34"/>
        <v>156.44825624999999</v>
      </c>
      <c r="L91" s="3">
        <f t="shared" si="35"/>
        <v>0</v>
      </c>
      <c r="M91">
        <f t="shared" si="36"/>
        <v>202.39011952992803</v>
      </c>
      <c r="O91">
        <f t="shared" si="37"/>
        <v>2132.363375779928</v>
      </c>
      <c r="P91">
        <f t="shared" si="38"/>
        <v>266.47712698257931</v>
      </c>
      <c r="Q91" s="4">
        <f>SUM(P85:P92)</f>
        <v>1279.2052250922359</v>
      </c>
      <c r="R91" s="10"/>
    </row>
    <row r="92" spans="1:22" ht="15" customHeight="1">
      <c r="A92" t="s">
        <v>28</v>
      </c>
      <c r="B92">
        <f>('MATERIAL BALANCE'!Z6)/(24*60*60)</f>
        <v>2.2662037037037035E-4</v>
      </c>
      <c r="E92">
        <v>20.786000000000001</v>
      </c>
      <c r="F92">
        <v>1.2300000000000001E-4</v>
      </c>
      <c r="G92">
        <f>-0.136</f>
        <v>-0.13600000000000001</v>
      </c>
      <c r="H92">
        <v>0</v>
      </c>
      <c r="J92">
        <f t="shared" si="33"/>
        <v>6755.4500000000007</v>
      </c>
      <c r="K92" s="3">
        <f t="shared" si="34"/>
        <v>1.8414483750000002E-2</v>
      </c>
      <c r="L92" s="3">
        <f t="shared" si="35"/>
        <v>-9.7682223578333343</v>
      </c>
      <c r="M92">
        <f t="shared" si="36"/>
        <v>0</v>
      </c>
      <c r="O92">
        <f t="shared" si="37"/>
        <v>6745.700192125918</v>
      </c>
      <c r="P92">
        <f t="shared" si="38"/>
        <v>12.709720513423807</v>
      </c>
      <c r="R92" s="10"/>
    </row>
    <row r="93" spans="1:22" ht="15" customHeight="1">
      <c r="P93" t="s">
        <v>54</v>
      </c>
      <c r="Q93" s="8">
        <f>(Q91+Q78)+ (E70*('MATERIAL BALANCE'!Y14)*1000/(60*60*24))</f>
        <v>-525.3866510082994</v>
      </c>
      <c r="R93" s="10"/>
    </row>
    <row r="94" spans="1:22" ht="15" customHeight="1">
      <c r="R94" s="10"/>
    </row>
    <row r="95" spans="1:22" ht="15" customHeight="1">
      <c r="R95" s="10"/>
    </row>
    <row r="96" spans="1:22" ht="15" customHeight="1">
      <c r="R96" s="10"/>
    </row>
    <row r="97" spans="1:18" ht="15" customHeight="1">
      <c r="F97" s="13" t="s">
        <v>75</v>
      </c>
      <c r="R97" s="10"/>
    </row>
    <row r="98" spans="1:18" ht="15" customHeight="1">
      <c r="R98" s="10"/>
    </row>
    <row r="99" spans="1:18" ht="15" customHeight="1">
      <c r="A99" t="s">
        <v>58</v>
      </c>
      <c r="R99" s="10"/>
    </row>
    <row r="100" spans="1:18" ht="15" customHeight="1">
      <c r="D100" t="s">
        <v>59</v>
      </c>
      <c r="E100">
        <f>-70</f>
        <v>-70</v>
      </c>
      <c r="R100" s="10"/>
    </row>
    <row r="101" spans="1:18" ht="15" customHeight="1">
      <c r="B101">
        <v>110</v>
      </c>
      <c r="C101">
        <f>273.15+B101</f>
        <v>383.15</v>
      </c>
      <c r="R101" s="10"/>
    </row>
    <row r="102" spans="1:18" ht="15" customHeight="1">
      <c r="R102" s="10"/>
    </row>
    <row r="103" spans="1:18" ht="15" customHeight="1">
      <c r="A103" t="s">
        <v>20</v>
      </c>
      <c r="B103">
        <f>('MATERIAL BALANCE'!AC4)/(60*60*24)</f>
        <v>1.930648148148148E-2</v>
      </c>
      <c r="E103">
        <v>3.28</v>
      </c>
      <c r="F103">
        <v>0.59299999999999997</v>
      </c>
      <c r="G103">
        <v>0</v>
      </c>
      <c r="H103">
        <v>0.04</v>
      </c>
      <c r="J103">
        <f t="shared" ref="J103:J110" si="39">E103*($B$22-$C$101)</f>
        <v>-278.8</v>
      </c>
      <c r="K103" s="3">
        <f t="shared" ref="K103:K110" si="40">(F103*$F$8*($B$22^2-$C$101^2))*(1/2)</f>
        <v>-17.170463250000001</v>
      </c>
      <c r="L103" s="3">
        <f t="shared" ref="L103:L110" si="41">(1/3)*G103*$G$8*($B$22^3-$C$101^3)</f>
        <v>0</v>
      </c>
      <c r="M103">
        <f t="shared" ref="M103:M110" si="42">H103*$H$8*(1/$B$22-1/$C$101)</f>
        <v>2.9762901938963342</v>
      </c>
      <c r="O103">
        <f t="shared" ref="O103:O110" si="43">SUM(J103:M103)</f>
        <v>-292.9941730561037</v>
      </c>
      <c r="P103">
        <f t="shared" ref="P103:P110" si="44">O103*B103*$K$6</f>
        <v>-47.029692195272119</v>
      </c>
      <c r="R103" s="10"/>
    </row>
    <row r="104" spans="1:18" ht="15" customHeight="1">
      <c r="A104" t="s">
        <v>25</v>
      </c>
      <c r="B104">
        <f>('MATERIAL BALANCE'!AC5)/(60*60*24)</f>
        <v>2.9089376335470077E-3</v>
      </c>
      <c r="E104">
        <v>3.6389999999999998</v>
      </c>
      <c r="F104">
        <v>0.50600000000000001</v>
      </c>
      <c r="G104">
        <v>0</v>
      </c>
      <c r="H104">
        <v>-0.22700000000000001</v>
      </c>
      <c r="J104">
        <f t="shared" si="39"/>
        <v>-309.315</v>
      </c>
      <c r="K104" s="3">
        <f t="shared" si="40"/>
        <v>-14.651356500000002</v>
      </c>
      <c r="L104" s="3">
        <f t="shared" si="41"/>
        <v>0</v>
      </c>
      <c r="M104">
        <f t="shared" si="42"/>
        <v>-16.890446850361698</v>
      </c>
      <c r="O104">
        <f t="shared" si="43"/>
        <v>-340.8568033503617</v>
      </c>
      <c r="P104">
        <f t="shared" si="44"/>
        <v>-8.2435902547669411</v>
      </c>
      <c r="R104" s="10"/>
    </row>
    <row r="105" spans="1:18" ht="15" customHeight="1">
      <c r="A105" t="s">
        <v>18</v>
      </c>
      <c r="B105">
        <f>('MATERIAL BALANCE'!AC7)/(60*60*24)</f>
        <v>2.4094328703703726E-4</v>
      </c>
      <c r="E105">
        <v>1.702</v>
      </c>
      <c r="F105">
        <v>9.0809999999999995</v>
      </c>
      <c r="G105">
        <v>-2.1640000000000001</v>
      </c>
      <c r="H105">
        <v>0</v>
      </c>
      <c r="J105">
        <f t="shared" si="39"/>
        <v>-144.66999999999999</v>
      </c>
      <c r="K105" s="3">
        <f t="shared" si="40"/>
        <v>-262.94262524999999</v>
      </c>
      <c r="L105" s="3">
        <f t="shared" si="41"/>
        <v>21.455590402983333</v>
      </c>
      <c r="M105">
        <f t="shared" si="42"/>
        <v>0</v>
      </c>
      <c r="O105">
        <f t="shared" si="43"/>
        <v>-386.15703484701663</v>
      </c>
      <c r="P105">
        <f t="shared" si="44"/>
        <v>-0.77355073312872147</v>
      </c>
      <c r="R105" s="10"/>
    </row>
    <row r="106" spans="1:18" ht="15" customHeight="1">
      <c r="A106" t="s">
        <v>26</v>
      </c>
      <c r="B106">
        <f>('MATERIAL BALANCE'!AC8)/(60*60*24)</f>
        <v>5.7919512442129624E-2</v>
      </c>
      <c r="E106">
        <v>3.2490000000000001</v>
      </c>
      <c r="F106">
        <v>0.42199999999999999</v>
      </c>
      <c r="G106">
        <v>0</v>
      </c>
      <c r="H106">
        <v>8.3000000000000004E-2</v>
      </c>
      <c r="J106">
        <f t="shared" si="39"/>
        <v>-276.16500000000002</v>
      </c>
      <c r="K106" s="3">
        <f t="shared" si="40"/>
        <v>-12.219115500000001</v>
      </c>
      <c r="L106" s="3">
        <f t="shared" si="41"/>
        <v>0</v>
      </c>
      <c r="M106">
        <f t="shared" si="42"/>
        <v>6.1758021523348932</v>
      </c>
      <c r="O106">
        <f t="shared" si="43"/>
        <v>-282.20831334766513</v>
      </c>
      <c r="P106">
        <f t="shared" si="44"/>
        <v>-135.89538885539079</v>
      </c>
      <c r="R106" s="10"/>
    </row>
    <row r="107" spans="1:18" ht="15" customHeight="1">
      <c r="A107" t="s">
        <v>24</v>
      </c>
      <c r="B107">
        <f>('MATERIAL BALANCE'!AC9)/(60*60*24)</f>
        <v>7.9110677083333398E-4</v>
      </c>
      <c r="E107">
        <v>3.3759999999999999</v>
      </c>
      <c r="F107">
        <v>0.55700000000000005</v>
      </c>
      <c r="G107">
        <v>0</v>
      </c>
      <c r="H107">
        <v>-3.1E-2</v>
      </c>
      <c r="J107">
        <f t="shared" si="39"/>
        <v>-286.95999999999998</v>
      </c>
      <c r="K107" s="3">
        <f t="shared" si="40"/>
        <v>-16.128074250000004</v>
      </c>
      <c r="L107" s="3">
        <f t="shared" si="41"/>
        <v>0</v>
      </c>
      <c r="M107">
        <f t="shared" si="42"/>
        <v>-2.3066249002696591</v>
      </c>
      <c r="O107">
        <f t="shared" si="43"/>
        <v>-305.39469915026962</v>
      </c>
      <c r="P107">
        <f t="shared" si="44"/>
        <v>-2.0086608558772561</v>
      </c>
      <c r="R107" s="10"/>
    </row>
    <row r="108" spans="1:18" ht="15" customHeight="1">
      <c r="A108" t="s">
        <v>19</v>
      </c>
      <c r="B108">
        <f>('MATERIAL BALANCE'!AC10)/(60*60*24)</f>
        <v>2.191399450231481E-2</v>
      </c>
      <c r="E108">
        <v>3.47</v>
      </c>
      <c r="F108">
        <v>1.45</v>
      </c>
      <c r="G108">
        <v>0</v>
      </c>
      <c r="H108">
        <v>0.121</v>
      </c>
      <c r="J108">
        <f t="shared" si="39"/>
        <v>-294.95</v>
      </c>
      <c r="K108" s="3">
        <f t="shared" si="40"/>
        <v>-41.9851125</v>
      </c>
      <c r="L108" s="3">
        <f t="shared" si="41"/>
        <v>0</v>
      </c>
      <c r="M108">
        <f t="shared" si="42"/>
        <v>9.0032778365364106</v>
      </c>
      <c r="O108">
        <f t="shared" si="43"/>
        <v>-327.93183466346358</v>
      </c>
      <c r="P108">
        <f t="shared" si="44"/>
        <v>-59.746868452085231</v>
      </c>
      <c r="R108" s="10"/>
    </row>
    <row r="109" spans="1:18" ht="15" customHeight="1">
      <c r="A109" t="s">
        <v>29</v>
      </c>
      <c r="B109">
        <f>('MATERIAL BALANCE'!AC11)/(60*60*24)</f>
        <v>1.5031028645833331E-2</v>
      </c>
      <c r="E109">
        <v>5.4569999999999999</v>
      </c>
      <c r="F109">
        <v>1.0449999999999999</v>
      </c>
      <c r="G109">
        <v>0</v>
      </c>
      <c r="H109">
        <v>-1.157</v>
      </c>
      <c r="J109">
        <f t="shared" si="39"/>
        <v>-463.84499999999997</v>
      </c>
      <c r="K109" s="3">
        <f t="shared" si="40"/>
        <v>-30.25823625</v>
      </c>
      <c r="L109" s="3">
        <f t="shared" si="41"/>
        <v>0</v>
      </c>
      <c r="M109">
        <f t="shared" si="42"/>
        <v>-86.089193858451466</v>
      </c>
      <c r="O109">
        <f t="shared" si="43"/>
        <v>-580.19243010845139</v>
      </c>
      <c r="P109">
        <f t="shared" si="44"/>
        <v>-72.5054714540818</v>
      </c>
      <c r="R109" s="10"/>
    </row>
    <row r="110" spans="1:18" ht="15" customHeight="1">
      <c r="A110" t="s">
        <v>28</v>
      </c>
      <c r="B110">
        <f>('MATERIAL BALANCE'!AC6)/(60*60*24)</f>
        <v>2.2662037037037035E-4</v>
      </c>
      <c r="E110">
        <v>20.786000000000001</v>
      </c>
      <c r="F110">
        <v>1.2300000000000001E-4</v>
      </c>
      <c r="G110">
        <f>-0.136</f>
        <v>-0.13600000000000001</v>
      </c>
      <c r="H110">
        <v>0</v>
      </c>
      <c r="J110">
        <f t="shared" si="39"/>
        <v>-1766.8100000000002</v>
      </c>
      <c r="K110" s="3">
        <f t="shared" si="40"/>
        <v>-3.5614957500000001E-3</v>
      </c>
      <c r="L110" s="3">
        <f t="shared" si="41"/>
        <v>1.3484104874333334</v>
      </c>
      <c r="M110">
        <f t="shared" si="42"/>
        <v>0</v>
      </c>
      <c r="O110">
        <f t="shared" si="43"/>
        <v>-1765.465151008317</v>
      </c>
      <c r="P110">
        <f t="shared" si="44"/>
        <v>-3.326351306228704</v>
      </c>
      <c r="R110" s="10"/>
    </row>
    <row r="111" spans="1:18" ht="15" customHeight="1">
      <c r="B111">
        <v>100</v>
      </c>
      <c r="C111">
        <f>273.15+B111</f>
        <v>373.15</v>
      </c>
      <c r="K111" s="3"/>
      <c r="L111" s="3"/>
      <c r="R111" s="10"/>
    </row>
    <row r="112" spans="1:18" ht="15" customHeight="1">
      <c r="A112" t="s">
        <v>33</v>
      </c>
      <c r="B112">
        <f>('MATERIAL BALANCE'!AC12)/(60*60*24)</f>
        <v>1.5031028645833331E-2</v>
      </c>
      <c r="E112">
        <v>0</v>
      </c>
      <c r="F112">
        <v>0</v>
      </c>
      <c r="G112">
        <v>0</v>
      </c>
      <c r="H112">
        <v>0</v>
      </c>
      <c r="J112">
        <f>E112*($B$22-$C$101)</f>
        <v>0</v>
      </c>
      <c r="K112" s="3">
        <f>(F112*$F$8*($B$22^2-$C$101^2))*(1/2)</f>
        <v>0</v>
      </c>
      <c r="L112" s="3">
        <f>(1/3)*G112*$G$8*($B$22^3-$C$101^3)</f>
        <v>0</v>
      </c>
      <c r="M112">
        <f>H112*$H$8*(1/$B$22-1/$C$101)</f>
        <v>0</v>
      </c>
      <c r="O112">
        <f>SUM(J112:M112)</f>
        <v>0</v>
      </c>
      <c r="P112">
        <f>O112*B112*$K$6</f>
        <v>0</v>
      </c>
      <c r="Q112" s="4">
        <f>SUM(P103:P112)</f>
        <v>-329.5295741068316</v>
      </c>
      <c r="R112" s="10"/>
    </row>
    <row r="113" spans="1:18" ht="15" customHeight="1">
      <c r="K113" s="3"/>
      <c r="L113" s="3"/>
      <c r="R113" s="10"/>
    </row>
    <row r="114" spans="1:18" ht="15" customHeight="1">
      <c r="A114" t="s">
        <v>63</v>
      </c>
      <c r="K114" s="3"/>
      <c r="L114" s="3"/>
      <c r="R114" s="10"/>
    </row>
    <row r="115" spans="1:18" ht="15" customHeight="1">
      <c r="K115" s="3"/>
      <c r="L115" s="3"/>
      <c r="R115" s="10"/>
    </row>
    <row r="116" spans="1:18" ht="15" customHeight="1">
      <c r="A116" t="s">
        <v>70</v>
      </c>
      <c r="B116">
        <v>130</v>
      </c>
      <c r="C116">
        <f>273.15+B116</f>
        <v>403.15</v>
      </c>
      <c r="K116" s="3"/>
      <c r="L116" s="3"/>
      <c r="R116" s="10"/>
    </row>
    <row r="117" spans="1:18" ht="15" customHeight="1">
      <c r="K117" s="3"/>
      <c r="L117" s="3"/>
      <c r="R117" s="10"/>
    </row>
    <row r="118" spans="1:18" ht="15" customHeight="1">
      <c r="K118" s="3"/>
      <c r="L118" s="3"/>
      <c r="R118" s="10"/>
    </row>
    <row r="119" spans="1:18" ht="15" customHeight="1">
      <c r="A119" t="s">
        <v>20</v>
      </c>
      <c r="B119">
        <f>('MATERIAL BALANCE'!AE4)/(60*60*24)</f>
        <v>1.930648148148148E-2</v>
      </c>
      <c r="E119">
        <v>3.28</v>
      </c>
      <c r="F119">
        <v>0.59299999999999997</v>
      </c>
      <c r="G119">
        <v>0</v>
      </c>
      <c r="H119">
        <v>0.04</v>
      </c>
      <c r="J119">
        <f t="shared" ref="J119:J126" si="45">-1*E119*($B$22-$C$116)</f>
        <v>344.4</v>
      </c>
      <c r="K119" s="3">
        <f t="shared" ref="K119:K126" si="46">-1*(F119*$F$8*($B$22^2-$C$116^2))*(1/2)</f>
        <v>21.833222249999999</v>
      </c>
      <c r="L119" s="3">
        <f t="shared" ref="L119:L126" si="47">-1*(1/3)*G119*$G$8*($B$22^3-$C$116^3)</f>
        <v>0</v>
      </c>
      <c r="M119">
        <f t="shared" ref="M119:M126" si="48">H119*$H$8*(1/$B$22-1/$C$116)*-1</f>
        <v>-3.4942004280437127</v>
      </c>
      <c r="O119">
        <f t="shared" ref="O119:O126" si="49">SUM(J119:M119)</f>
        <v>362.73902182195627</v>
      </c>
      <c r="P119">
        <f t="shared" ref="P119:P126" si="50">O119*B119*$K$6</f>
        <v>58.224722920459165</v>
      </c>
      <c r="R119" s="10"/>
    </row>
    <row r="120" spans="1:18" ht="15" customHeight="1">
      <c r="A120" t="s">
        <v>25</v>
      </c>
      <c r="B120">
        <f>('MATERIAL BALANCE'!AE5)/(60*60*24)</f>
        <v>2.9089376335470077E-3</v>
      </c>
      <c r="E120">
        <v>3.6389999999999998</v>
      </c>
      <c r="F120">
        <v>0.50600000000000001</v>
      </c>
      <c r="G120">
        <v>0</v>
      </c>
      <c r="H120">
        <v>-0.22700000000000001</v>
      </c>
      <c r="J120">
        <f t="shared" si="45"/>
        <v>382.09499999999997</v>
      </c>
      <c r="K120" s="3">
        <f t="shared" si="46"/>
        <v>18.630034500000001</v>
      </c>
      <c r="L120" s="3">
        <f t="shared" si="47"/>
        <v>0</v>
      </c>
      <c r="M120">
        <f t="shared" si="48"/>
        <v>19.82958742914807</v>
      </c>
      <c r="O120">
        <f t="shared" si="49"/>
        <v>420.55462192914808</v>
      </c>
      <c r="P120">
        <f t="shared" si="50"/>
        <v>10.171074623875898</v>
      </c>
      <c r="R120" s="10"/>
    </row>
    <row r="121" spans="1:18" ht="15" customHeight="1">
      <c r="A121" t="s">
        <v>18</v>
      </c>
      <c r="B121">
        <f>('MATERIAL BALANCE'!AE7)/(60*60*24)</f>
        <v>2.4094328703703726E-4</v>
      </c>
      <c r="E121">
        <v>1.702</v>
      </c>
      <c r="F121">
        <v>9.0809999999999995</v>
      </c>
      <c r="G121">
        <v>-2.1640000000000001</v>
      </c>
      <c r="H121">
        <v>0</v>
      </c>
      <c r="J121">
        <f t="shared" si="45"/>
        <v>178.71</v>
      </c>
      <c r="K121" s="3">
        <f t="shared" si="46"/>
        <v>334.34652825000001</v>
      </c>
      <c r="L121" s="3">
        <f t="shared" si="47"/>
        <v>-28.14668947545</v>
      </c>
      <c r="M121">
        <f t="shared" si="48"/>
        <v>0</v>
      </c>
      <c r="O121">
        <f t="shared" si="49"/>
        <v>484.90983877455005</v>
      </c>
      <c r="P121">
        <f t="shared" si="50"/>
        <v>0.97137259569539414</v>
      </c>
      <c r="R121" s="10"/>
    </row>
    <row r="122" spans="1:18" ht="15" customHeight="1">
      <c r="A122" t="s">
        <v>26</v>
      </c>
      <c r="B122">
        <f>('MATERIAL BALANCE'!AE8)/(60*60*24)</f>
        <v>5.7919512442129624E-2</v>
      </c>
      <c r="E122">
        <v>3.2490000000000001</v>
      </c>
      <c r="F122">
        <v>0.42199999999999999</v>
      </c>
      <c r="G122">
        <v>0</v>
      </c>
      <c r="H122">
        <v>8.3000000000000004E-2</v>
      </c>
      <c r="J122">
        <f t="shared" si="45"/>
        <v>341.14500000000004</v>
      </c>
      <c r="K122" s="3">
        <f t="shared" si="46"/>
        <v>15.5373015</v>
      </c>
      <c r="L122" s="3">
        <f t="shared" si="47"/>
        <v>0</v>
      </c>
      <c r="M122">
        <f t="shared" si="48"/>
        <v>-7.2504658881907043</v>
      </c>
      <c r="O122">
        <f t="shared" si="49"/>
        <v>349.43183561180933</v>
      </c>
      <c r="P122">
        <f t="shared" si="50"/>
        <v>168.26639376997892</v>
      </c>
      <c r="R122" s="10"/>
    </row>
    <row r="123" spans="1:18" ht="15" customHeight="1">
      <c r="A123" t="s">
        <v>24</v>
      </c>
      <c r="B123">
        <f>('MATERIAL BALANCE'!AE9)/(60*60*24)</f>
        <v>7.9110677083333398E-4</v>
      </c>
      <c r="E123">
        <v>3.3759999999999999</v>
      </c>
      <c r="F123">
        <v>0.55700000000000005</v>
      </c>
      <c r="G123">
        <v>0</v>
      </c>
      <c r="H123">
        <v>-3.1E-2</v>
      </c>
      <c r="J123">
        <f t="shared" si="45"/>
        <v>354.47999999999996</v>
      </c>
      <c r="K123" s="3">
        <f t="shared" si="46"/>
        <v>20.507765250000002</v>
      </c>
      <c r="L123" s="3">
        <f t="shared" si="47"/>
        <v>0</v>
      </c>
      <c r="M123">
        <f t="shared" si="48"/>
        <v>2.7080053317338773</v>
      </c>
      <c r="O123">
        <f t="shared" si="49"/>
        <v>377.69577058173383</v>
      </c>
      <c r="P123">
        <f t="shared" si="50"/>
        <v>2.4842039233451954</v>
      </c>
      <c r="R123" s="10"/>
    </row>
    <row r="124" spans="1:18" ht="15" customHeight="1">
      <c r="A124" t="s">
        <v>19</v>
      </c>
      <c r="B124">
        <f>('MATERIAL BALANCE'!AE10)/(60*60*24)</f>
        <v>6.8829658564814782E-3</v>
      </c>
      <c r="E124">
        <v>3.47</v>
      </c>
      <c r="F124">
        <v>1.45</v>
      </c>
      <c r="G124">
        <v>0</v>
      </c>
      <c r="H124">
        <v>0.121</v>
      </c>
      <c r="J124">
        <f t="shared" si="45"/>
        <v>364.35</v>
      </c>
      <c r="K124" s="3">
        <f t="shared" si="46"/>
        <v>53.386462499999993</v>
      </c>
      <c r="L124" s="3">
        <f t="shared" si="47"/>
        <v>0</v>
      </c>
      <c r="M124">
        <f t="shared" si="48"/>
        <v>-10.569956294832231</v>
      </c>
      <c r="O124">
        <f t="shared" si="49"/>
        <v>407.16650620516776</v>
      </c>
      <c r="P124">
        <f t="shared" si="50"/>
        <v>23.300094413179679</v>
      </c>
      <c r="R124" s="10"/>
    </row>
    <row r="125" spans="1:18" ht="15" customHeight="1">
      <c r="A125" t="s">
        <v>31</v>
      </c>
      <c r="B125">
        <f>('MATERIAL BALANCE'!AE11)/(60*60*24)</f>
        <v>3.0062057291666663E-2</v>
      </c>
      <c r="E125">
        <v>0</v>
      </c>
      <c r="F125">
        <v>0</v>
      </c>
      <c r="G125">
        <v>0</v>
      </c>
      <c r="H125">
        <v>0</v>
      </c>
      <c r="J125">
        <f t="shared" si="45"/>
        <v>0</v>
      </c>
      <c r="K125" s="3">
        <f t="shared" si="46"/>
        <v>0</v>
      </c>
      <c r="L125" s="3">
        <f t="shared" si="47"/>
        <v>0</v>
      </c>
      <c r="M125">
        <f t="shared" si="48"/>
        <v>0</v>
      </c>
      <c r="O125">
        <f t="shared" si="49"/>
        <v>0</v>
      </c>
      <c r="P125">
        <f t="shared" si="50"/>
        <v>0</v>
      </c>
      <c r="R125" s="10"/>
    </row>
    <row r="126" spans="1:18" ht="15" customHeight="1">
      <c r="A126" t="s">
        <v>28</v>
      </c>
      <c r="B126">
        <f>('MATERIAL BALANCE'!AE6)/(60*60*24)</f>
        <v>2.2662037037037035E-4</v>
      </c>
      <c r="E126">
        <v>20.786000000000001</v>
      </c>
      <c r="F126">
        <v>1.2300000000000001E-4</v>
      </c>
      <c r="G126">
        <f>-0.136</f>
        <v>-0.13600000000000001</v>
      </c>
      <c r="H126">
        <v>0</v>
      </c>
      <c r="J126">
        <f t="shared" si="45"/>
        <v>2182.5300000000002</v>
      </c>
      <c r="K126" s="3">
        <f t="shared" si="46"/>
        <v>4.5286447499999997E-3</v>
      </c>
      <c r="L126" s="3">
        <f t="shared" si="47"/>
        <v>-1.7689231833000001</v>
      </c>
      <c r="M126">
        <f t="shared" si="48"/>
        <v>0</v>
      </c>
      <c r="O126">
        <f t="shared" si="49"/>
        <v>2180.7656054614499</v>
      </c>
      <c r="P126">
        <f t="shared" si="50"/>
        <v>4.1088279290941108</v>
      </c>
      <c r="Q126" s="4">
        <f>SUM(P119:P126)</f>
        <v>267.5266901756284</v>
      </c>
      <c r="R126" s="10"/>
    </row>
    <row r="127" spans="1:18" ht="15" customHeight="1">
      <c r="P127" t="s">
        <v>54</v>
      </c>
      <c r="Q127" s="8">
        <f>(Q126+Q112) +(E100*('MATERIAL BALANCE'!AD14)*1000/(60*60*24))</f>
        <v>-1114.1748891395364</v>
      </c>
      <c r="R127" s="10"/>
    </row>
    <row r="128" spans="1:18" ht="15" customHeight="1">
      <c r="R128" s="10"/>
    </row>
    <row r="129" spans="1:18" ht="15" customHeight="1">
      <c r="F129" s="13" t="s">
        <v>76</v>
      </c>
      <c r="R129" s="10"/>
    </row>
    <row r="130" spans="1:18" ht="15" customHeight="1">
      <c r="D130" t="s">
        <v>77</v>
      </c>
      <c r="E130">
        <f>-283</f>
        <v>-283</v>
      </c>
      <c r="R130" s="10"/>
    </row>
    <row r="131" spans="1:18" ht="15" customHeight="1">
      <c r="A131" t="s">
        <v>58</v>
      </c>
      <c r="R131" s="10"/>
    </row>
    <row r="132" spans="1:18" ht="15" customHeight="1">
      <c r="B132">
        <v>130</v>
      </c>
      <c r="C132">
        <f>273.15+B132</f>
        <v>403.15</v>
      </c>
      <c r="R132" s="10"/>
    </row>
    <row r="133" spans="1:18" ht="15" customHeight="1">
      <c r="K133" s="3"/>
      <c r="L133" s="3"/>
      <c r="R133" s="10"/>
    </row>
    <row r="134" spans="1:18" ht="15" customHeight="1">
      <c r="A134" t="s">
        <v>20</v>
      </c>
      <c r="B134">
        <f>('MATERIAL BALANCE'!AH4)/(60*60*24)</f>
        <v>1.930648148148148E-2</v>
      </c>
      <c r="E134">
        <v>3.28</v>
      </c>
      <c r="F134">
        <v>0.59299999999999997</v>
      </c>
      <c r="G134">
        <v>0</v>
      </c>
      <c r="H134">
        <v>0.04</v>
      </c>
      <c r="J134">
        <f t="shared" ref="J134:J140" si="51">E134*($B$22-$C$132)</f>
        <v>-344.4</v>
      </c>
      <c r="K134" s="3">
        <f t="shared" ref="K134:K140" si="52">(F134*$F$8*($B$22^2-$C$132^2))*(1/2)</f>
        <v>-21.833222249999999</v>
      </c>
      <c r="L134" s="3">
        <f t="shared" ref="L134:L140" si="53">(1/3)*G134*$G$8*($B$22^3-$C$116^3)</f>
        <v>0</v>
      </c>
      <c r="M134">
        <f t="shared" ref="M134:M140" si="54">H134*$H$8*(1/$B$22-1/$C$132)</f>
        <v>3.4942004280437127</v>
      </c>
      <c r="O134">
        <f t="shared" ref="O134:O140" si="55">SUM(J134:M134)</f>
        <v>-362.73902182195627</v>
      </c>
      <c r="P134">
        <f t="shared" ref="P134:P140" si="56">O134*B134*$K$6</f>
        <v>-58.224722920459165</v>
      </c>
      <c r="R134" s="10"/>
    </row>
    <row r="135" spans="1:18" ht="15" customHeight="1">
      <c r="A135" t="s">
        <v>25</v>
      </c>
      <c r="B135">
        <f>('MATERIAL BALANCE'!AH5)/(60*60*24)</f>
        <v>2.9089376335470077E-3</v>
      </c>
      <c r="E135">
        <v>3.6389999999999998</v>
      </c>
      <c r="F135">
        <v>0.50600000000000001</v>
      </c>
      <c r="G135">
        <v>0</v>
      </c>
      <c r="H135">
        <v>-0.22700000000000001</v>
      </c>
      <c r="J135">
        <f t="shared" si="51"/>
        <v>-382.09499999999997</v>
      </c>
      <c r="K135" s="3">
        <f t="shared" si="52"/>
        <v>-18.630034500000001</v>
      </c>
      <c r="L135" s="3">
        <f t="shared" si="53"/>
        <v>0</v>
      </c>
      <c r="M135">
        <f t="shared" si="54"/>
        <v>-19.82958742914807</v>
      </c>
      <c r="O135">
        <f t="shared" si="55"/>
        <v>-420.55462192914808</v>
      </c>
      <c r="P135">
        <f t="shared" si="56"/>
        <v>-10.171074623875898</v>
      </c>
      <c r="R135" s="10"/>
    </row>
    <row r="136" spans="1:18" ht="15" customHeight="1">
      <c r="A136" t="s">
        <v>18</v>
      </c>
      <c r="B136">
        <f>('MATERIAL BALANCE'!AH7)/(60*60*24)</f>
        <v>2.4094328703703726E-4</v>
      </c>
      <c r="E136">
        <v>1.702</v>
      </c>
      <c r="F136">
        <v>9.0809999999999995</v>
      </c>
      <c r="G136">
        <v>-2.1640000000000001</v>
      </c>
      <c r="H136">
        <v>0</v>
      </c>
      <c r="J136">
        <f t="shared" si="51"/>
        <v>-178.71</v>
      </c>
      <c r="K136" s="3">
        <f t="shared" si="52"/>
        <v>-334.34652825000001</v>
      </c>
      <c r="L136" s="3">
        <f t="shared" si="53"/>
        <v>28.14668947545</v>
      </c>
      <c r="M136">
        <f t="shared" si="54"/>
        <v>0</v>
      </c>
      <c r="O136">
        <f t="shared" si="55"/>
        <v>-484.90983877455005</v>
      </c>
      <c r="P136">
        <f t="shared" si="56"/>
        <v>-0.97137259569539414</v>
      </c>
      <c r="R136" s="10"/>
    </row>
    <row r="137" spans="1:18" ht="15" customHeight="1">
      <c r="A137" t="s">
        <v>26</v>
      </c>
      <c r="B137">
        <f>('MATERIAL BALANCE'!AH8)/(60*60*24)</f>
        <v>5.7919512442129624E-2</v>
      </c>
      <c r="E137">
        <v>3.2490000000000001</v>
      </c>
      <c r="F137">
        <v>0.42199999999999999</v>
      </c>
      <c r="G137">
        <v>0</v>
      </c>
      <c r="H137">
        <v>8.3000000000000004E-2</v>
      </c>
      <c r="J137">
        <f t="shared" si="51"/>
        <v>-341.14500000000004</v>
      </c>
      <c r="K137" s="3">
        <f t="shared" si="52"/>
        <v>-15.5373015</v>
      </c>
      <c r="L137" s="3">
        <f t="shared" si="53"/>
        <v>0</v>
      </c>
      <c r="M137">
        <f t="shared" si="54"/>
        <v>7.2504658881907043</v>
      </c>
      <c r="O137">
        <f t="shared" si="55"/>
        <v>-349.43183561180933</v>
      </c>
      <c r="P137">
        <f t="shared" si="56"/>
        <v>-168.26639376997892</v>
      </c>
      <c r="R137" s="10"/>
    </row>
    <row r="138" spans="1:18" ht="15" customHeight="1">
      <c r="A138" t="s">
        <v>24</v>
      </c>
      <c r="B138">
        <f>('MATERIAL BALANCE'!AH9)/(60*60*24)</f>
        <v>7.9110677083333398E-4</v>
      </c>
      <c r="E138">
        <v>3.3759999999999999</v>
      </c>
      <c r="F138">
        <v>0.55700000000000005</v>
      </c>
      <c r="G138">
        <v>0</v>
      </c>
      <c r="H138">
        <v>-3.1E-2</v>
      </c>
      <c r="J138">
        <f t="shared" si="51"/>
        <v>-354.47999999999996</v>
      </c>
      <c r="K138" s="3">
        <f t="shared" si="52"/>
        <v>-20.507765250000002</v>
      </c>
      <c r="L138" s="3">
        <f t="shared" si="53"/>
        <v>0</v>
      </c>
      <c r="M138">
        <f t="shared" si="54"/>
        <v>-2.7080053317338773</v>
      </c>
      <c r="O138">
        <f t="shared" si="55"/>
        <v>-377.69577058173383</v>
      </c>
      <c r="P138">
        <f t="shared" si="56"/>
        <v>-2.4842039233451954</v>
      </c>
      <c r="R138" s="10"/>
    </row>
    <row r="139" spans="1:18" ht="15" customHeight="1">
      <c r="A139" t="s">
        <v>19</v>
      </c>
      <c r="B139">
        <f>('MATERIAL BALANCE'!AH10)/(60*60*24)</f>
        <v>6.8829658564814782E-3</v>
      </c>
      <c r="E139">
        <v>3.47</v>
      </c>
      <c r="F139">
        <v>1.45</v>
      </c>
      <c r="G139">
        <v>0</v>
      </c>
      <c r="H139">
        <v>0.121</v>
      </c>
      <c r="J139">
        <f t="shared" si="51"/>
        <v>-364.35</v>
      </c>
      <c r="K139" s="3">
        <f t="shared" si="52"/>
        <v>-53.386462499999993</v>
      </c>
      <c r="L139" s="3">
        <f t="shared" si="53"/>
        <v>0</v>
      </c>
      <c r="M139">
        <f t="shared" si="54"/>
        <v>10.569956294832231</v>
      </c>
      <c r="O139">
        <f t="shared" si="55"/>
        <v>-407.16650620516776</v>
      </c>
      <c r="P139">
        <f t="shared" si="56"/>
        <v>-23.300094413179679</v>
      </c>
      <c r="R139" s="10"/>
    </row>
    <row r="140" spans="1:18" ht="15" customHeight="1">
      <c r="A140" t="s">
        <v>28</v>
      </c>
      <c r="B140">
        <f>('MATERIAL BALANCE'!AH6)/(60*60*24)</f>
        <v>2.2662037037037035E-4</v>
      </c>
      <c r="E140">
        <v>20.786000000000001</v>
      </c>
      <c r="F140">
        <v>1.2300000000000001E-4</v>
      </c>
      <c r="G140">
        <f>-0.136</f>
        <v>-0.13600000000000001</v>
      </c>
      <c r="H140">
        <v>0</v>
      </c>
      <c r="J140">
        <f t="shared" si="51"/>
        <v>-2182.5300000000002</v>
      </c>
      <c r="K140" s="3">
        <f t="shared" si="52"/>
        <v>-4.5286447499999997E-3</v>
      </c>
      <c r="L140" s="3">
        <f t="shared" si="53"/>
        <v>1.7689231833000001</v>
      </c>
      <c r="M140">
        <f t="shared" si="54"/>
        <v>0</v>
      </c>
      <c r="O140">
        <f t="shared" si="55"/>
        <v>-2180.7656054614499</v>
      </c>
      <c r="P140">
        <f t="shared" si="56"/>
        <v>-4.1088279290941108</v>
      </c>
      <c r="Q140" s="4">
        <f>SUM(P134:P140)</f>
        <v>-267.5266901756284</v>
      </c>
      <c r="R140" s="10"/>
    </row>
    <row r="141" spans="1:18" ht="15" customHeight="1">
      <c r="R141" s="10"/>
    </row>
    <row r="142" spans="1:18" ht="15" customHeight="1">
      <c r="A142" t="s">
        <v>63</v>
      </c>
      <c r="R142" s="10"/>
    </row>
    <row r="143" spans="1:18" ht="15" customHeight="1">
      <c r="B143">
        <v>150</v>
      </c>
      <c r="C143">
        <f>273.15+B143</f>
        <v>423.15</v>
      </c>
      <c r="R143" s="10"/>
    </row>
    <row r="144" spans="1:18" ht="15" customHeight="1">
      <c r="K144" s="3"/>
      <c r="L144" s="3"/>
      <c r="R144" s="10"/>
    </row>
    <row r="145" spans="1:18" ht="15" customHeight="1">
      <c r="A145" t="s">
        <v>20</v>
      </c>
      <c r="B145">
        <f>('MATERIAL BALANCE'!AJ4)/(24*60*60)</f>
        <v>1.930648148148148E-2</v>
      </c>
      <c r="E145">
        <v>3.28</v>
      </c>
      <c r="F145">
        <v>0.59299999999999997</v>
      </c>
      <c r="G145">
        <v>0</v>
      </c>
      <c r="H145">
        <v>0.04</v>
      </c>
      <c r="J145">
        <f t="shared" ref="J145:J151" si="57">E145*($B$22-$C$143)*-1</f>
        <v>410</v>
      </c>
      <c r="K145" s="3">
        <f t="shared" ref="K145:K151" si="58">(F145*$F$8*($B$22^2-$C$143^2))*(1/2)*-1</f>
        <v>26.733181250000001</v>
      </c>
      <c r="L145" s="3">
        <f t="shared" ref="L145:L151" si="59">(1/3)*G145*$G$8*($B$22^3-$C$143^3)*-1</f>
        <v>0</v>
      </c>
      <c r="M145">
        <f t="shared" ref="M145:M151" si="60">H145*$H$8*(1/$B$22-1/$C$143)*-1</f>
        <v>-3.9631530600029907</v>
      </c>
      <c r="O145">
        <f t="shared" ref="O145:O151" si="61">SUM(J145:M145)</f>
        <v>432.77002818999705</v>
      </c>
      <c r="P145">
        <f t="shared" ref="P145:P151" si="62">O145*B145*$K$6</f>
        <v>69.465685971910148</v>
      </c>
      <c r="R145" s="10"/>
    </row>
    <row r="146" spans="1:18" ht="15" customHeight="1">
      <c r="A146" t="s">
        <v>25</v>
      </c>
      <c r="B146">
        <f>('MATERIAL BALANCE'!AJ5)/(24*60*60)</f>
        <v>2.5133842481303409E-3</v>
      </c>
      <c r="E146">
        <v>3.6389999999999998</v>
      </c>
      <c r="F146">
        <v>0.50600000000000001</v>
      </c>
      <c r="G146">
        <v>0</v>
      </c>
      <c r="H146">
        <v>-0.22700000000000001</v>
      </c>
      <c r="J146">
        <f t="shared" si="57"/>
        <v>454.875</v>
      </c>
      <c r="K146" s="3">
        <f t="shared" si="58"/>
        <v>22.811112500000004</v>
      </c>
      <c r="L146" s="3">
        <f t="shared" si="59"/>
        <v>0</v>
      </c>
      <c r="M146">
        <f t="shared" si="60"/>
        <v>22.490893615516974</v>
      </c>
      <c r="O146">
        <f t="shared" si="61"/>
        <v>500.17700611551697</v>
      </c>
      <c r="P146">
        <f t="shared" si="62"/>
        <v>10.451837088234457</v>
      </c>
      <c r="R146" s="10"/>
    </row>
    <row r="147" spans="1:18" ht="15" customHeight="1">
      <c r="A147" t="s">
        <v>18</v>
      </c>
      <c r="B147">
        <f>('MATERIAL BALANCE'!AJ7)/(24*60*60)</f>
        <v>2.4094328703703726E-4</v>
      </c>
      <c r="E147">
        <v>1.702</v>
      </c>
      <c r="F147">
        <v>9.0809999999999995</v>
      </c>
      <c r="G147">
        <v>-2.1640000000000001</v>
      </c>
      <c r="H147">
        <v>0</v>
      </c>
      <c r="J147">
        <f t="shared" si="57"/>
        <v>212.75</v>
      </c>
      <c r="K147" s="3">
        <f t="shared" si="58"/>
        <v>409.38283125000004</v>
      </c>
      <c r="L147" s="3">
        <f t="shared" si="59"/>
        <v>-35.535721827916667</v>
      </c>
      <c r="M147">
        <f t="shared" si="60"/>
        <v>0</v>
      </c>
      <c r="O147">
        <f t="shared" si="61"/>
        <v>586.59710942208335</v>
      </c>
      <c r="P147">
        <f t="shared" si="62"/>
        <v>1.1750727892977737</v>
      </c>
      <c r="R147" s="10"/>
    </row>
    <row r="148" spans="1:18" ht="15" customHeight="1">
      <c r="A148" t="s">
        <v>26</v>
      </c>
      <c r="B148">
        <f>('MATERIAL BALANCE'!AJ8)/(24*60*60)</f>
        <v>5.7919512442129624E-2</v>
      </c>
      <c r="E148">
        <v>3.2490000000000001</v>
      </c>
      <c r="F148">
        <v>0.42199999999999999</v>
      </c>
      <c r="G148">
        <v>0</v>
      </c>
      <c r="H148">
        <v>8.3000000000000004E-2</v>
      </c>
      <c r="J148">
        <f t="shared" si="57"/>
        <v>406.125</v>
      </c>
      <c r="K148" s="3">
        <f t="shared" si="58"/>
        <v>19.0242875</v>
      </c>
      <c r="L148" s="3">
        <f t="shared" si="59"/>
        <v>0</v>
      </c>
      <c r="M148">
        <f t="shared" si="60"/>
        <v>-8.2235425995062066</v>
      </c>
      <c r="O148">
        <f t="shared" si="61"/>
        <v>416.92574490049378</v>
      </c>
      <c r="P148">
        <f t="shared" si="62"/>
        <v>200.76760161659789</v>
      </c>
      <c r="R148" s="10"/>
    </row>
    <row r="149" spans="1:18" ht="15" customHeight="1">
      <c r="A149" t="s">
        <v>29</v>
      </c>
      <c r="B149">
        <f>('MATERIAL BALANCE'!AJ9)/(24*60*60)</f>
        <v>7.9110677083333398E-4</v>
      </c>
      <c r="E149">
        <v>3.3759999999999999</v>
      </c>
      <c r="F149">
        <v>0.55700000000000005</v>
      </c>
      <c r="G149">
        <v>0</v>
      </c>
      <c r="H149">
        <v>-3.1E-2</v>
      </c>
      <c r="J149">
        <f t="shared" si="57"/>
        <v>422</v>
      </c>
      <c r="K149" s="3">
        <f t="shared" si="58"/>
        <v>25.110256250000003</v>
      </c>
      <c r="L149" s="3">
        <f t="shared" si="59"/>
        <v>0</v>
      </c>
      <c r="M149">
        <f t="shared" si="60"/>
        <v>3.071443621502318</v>
      </c>
      <c r="O149">
        <f t="shared" si="61"/>
        <v>450.18169987150236</v>
      </c>
      <c r="P149">
        <f t="shared" si="62"/>
        <v>2.9609628493231552</v>
      </c>
      <c r="R149" s="10"/>
    </row>
    <row r="150" spans="1:18" ht="15" customHeight="1">
      <c r="A150" t="s">
        <v>19</v>
      </c>
      <c r="B150">
        <f>('MATERIAL BALANCE'!AJ10)/(24*60*60)</f>
        <v>6.8829658564814782E-3</v>
      </c>
      <c r="E150">
        <v>3.47</v>
      </c>
      <c r="F150">
        <v>1.45</v>
      </c>
      <c r="G150">
        <v>0</v>
      </c>
      <c r="H150">
        <v>0.121</v>
      </c>
      <c r="J150">
        <f t="shared" si="57"/>
        <v>433.75</v>
      </c>
      <c r="K150" s="3">
        <f t="shared" si="58"/>
        <v>65.367812499999999</v>
      </c>
      <c r="L150" s="3">
        <f t="shared" si="59"/>
        <v>0</v>
      </c>
      <c r="M150">
        <f t="shared" si="60"/>
        <v>-11.988538006509048</v>
      </c>
      <c r="O150">
        <f t="shared" si="61"/>
        <v>487.12927449349098</v>
      </c>
      <c r="P150">
        <f t="shared" si="62"/>
        <v>27.875962079756164</v>
      </c>
      <c r="R150" s="10"/>
    </row>
    <row r="151" spans="1:18" ht="15" customHeight="1">
      <c r="A151" t="s">
        <v>28</v>
      </c>
      <c r="B151">
        <f>('MATERIAL BALANCE'!AJ6)/(24*60*60)</f>
        <v>2.2662037037037035E-4</v>
      </c>
      <c r="E151">
        <v>20.786000000000001</v>
      </c>
      <c r="F151">
        <v>1.2300000000000001E-4</v>
      </c>
      <c r="G151">
        <f>-0.136</f>
        <v>-0.13600000000000001</v>
      </c>
      <c r="H151">
        <v>0</v>
      </c>
      <c r="J151">
        <f t="shared" si="57"/>
        <v>2598.25</v>
      </c>
      <c r="K151" s="3">
        <f t="shared" si="58"/>
        <v>5.5449937500000003E-3</v>
      </c>
      <c r="L151" s="3">
        <f t="shared" si="59"/>
        <v>-2.2332985991666665</v>
      </c>
      <c r="M151">
        <f t="shared" si="60"/>
        <v>0</v>
      </c>
      <c r="O151">
        <f t="shared" si="61"/>
        <v>2596.0222463945834</v>
      </c>
      <c r="P151">
        <f t="shared" si="62"/>
        <v>4.8912220019531363</v>
      </c>
      <c r="Q151" s="4">
        <f>SUM(P145:P151)</f>
        <v>317.58834439707272</v>
      </c>
      <c r="R151" s="10"/>
    </row>
    <row r="152" spans="1:18" ht="15" customHeight="1">
      <c r="P152" t="s">
        <v>54</v>
      </c>
      <c r="Q152" s="9">
        <f>Q151+Q140+(E130*('MATERIAL BALANCE'!AI14)*1000/(60*60*24))</f>
        <v>-61.879953851472436</v>
      </c>
      <c r="R152" s="10"/>
    </row>
    <row r="153" spans="1:18" ht="15" customHeight="1">
      <c r="F153" s="12" t="s">
        <v>78</v>
      </c>
      <c r="G153" s="5"/>
      <c r="R153" s="10"/>
    </row>
    <row r="154" spans="1:18" ht="15" customHeight="1">
      <c r="R154" s="10"/>
    </row>
    <row r="155" spans="1:18" ht="15" customHeight="1">
      <c r="A155" t="s">
        <v>58</v>
      </c>
      <c r="R155" s="10"/>
    </row>
    <row r="156" spans="1:18" ht="15" customHeight="1">
      <c r="B156">
        <v>30</v>
      </c>
      <c r="C156">
        <f>B156+273.15</f>
        <v>303.14999999999998</v>
      </c>
      <c r="R156" s="10"/>
    </row>
    <row r="157" spans="1:18" ht="15" customHeight="1">
      <c r="R157" s="10"/>
    </row>
    <row r="158" spans="1:18" ht="15" customHeight="1">
      <c r="A158" t="s">
        <v>20</v>
      </c>
      <c r="B158" s="7">
        <f>('MATERIAL BALANCE'!AM4)/(60*24*60)</f>
        <v>1.930648148148148E-2</v>
      </c>
      <c r="E158">
        <v>3.28</v>
      </c>
      <c r="F158">
        <v>0.59299999999999997</v>
      </c>
      <c r="G158">
        <v>0</v>
      </c>
      <c r="H158">
        <v>0.04</v>
      </c>
      <c r="J158">
        <f t="shared" ref="J158:J164" si="63">E158*($B$22-$C$156)</f>
        <v>-16.399999999999999</v>
      </c>
      <c r="K158" s="3">
        <f t="shared" ref="K158:K164" si="64">F158*$F$8*($B$22^2-$C$156^2)*(1/2)</f>
        <v>-0.89142725</v>
      </c>
      <c r="L158" s="3">
        <f t="shared" ref="L158:L164" si="65">G158*$G$8*($B$22^3-$C$156^3)*(1/3)</f>
        <v>0</v>
      </c>
      <c r="M158" s="3">
        <f t="shared" ref="M158:M164" si="66">H158*$H$8*(1/$B$22-1/$C$156)</f>
        <v>0.22127768000531312</v>
      </c>
      <c r="O158">
        <f t="shared" ref="O158:O164" si="67">SUM(J158:M158)</f>
        <v>-17.070149569994683</v>
      </c>
      <c r="P158">
        <f t="shared" ref="P158:P164" si="68">O158*B158*$K$6</f>
        <v>-2.7399994738133668</v>
      </c>
      <c r="R158" s="10"/>
    </row>
    <row r="159" spans="1:18" ht="15" customHeight="1">
      <c r="A159" t="s">
        <v>25</v>
      </c>
      <c r="B159" s="7">
        <f>('MATERIAL BALANCE'!AM5)/(60*24*60)</f>
        <v>2.5133842481303409E-3</v>
      </c>
      <c r="E159">
        <v>3.6389999999999998</v>
      </c>
      <c r="F159">
        <v>0.50600000000000001</v>
      </c>
      <c r="G159">
        <v>0</v>
      </c>
      <c r="H159">
        <v>-0.22700000000000001</v>
      </c>
      <c r="J159">
        <f t="shared" si="63"/>
        <v>-18.195</v>
      </c>
      <c r="K159" s="3">
        <f t="shared" si="64"/>
        <v>-0.76064450000000006</v>
      </c>
      <c r="L159" s="3">
        <f t="shared" si="65"/>
        <v>0</v>
      </c>
      <c r="M159" s="3">
        <f t="shared" si="66"/>
        <v>-1.2557508340301518</v>
      </c>
      <c r="O159">
        <f t="shared" si="67"/>
        <v>-20.211395334030154</v>
      </c>
      <c r="P159">
        <f t="shared" si="68"/>
        <v>-0.42234290815919162</v>
      </c>
      <c r="R159" s="10"/>
    </row>
    <row r="160" spans="1:18" ht="15" customHeight="1">
      <c r="A160" t="s">
        <v>18</v>
      </c>
      <c r="B160" s="7">
        <f>('MATERIAL BALANCE'!AM7)/(60*24*60)</f>
        <v>2.4094328703703726E-4</v>
      </c>
      <c r="E160">
        <v>1.702</v>
      </c>
      <c r="F160">
        <v>9.0809999999999995</v>
      </c>
      <c r="G160">
        <v>-2.1640000000000001</v>
      </c>
      <c r="H160">
        <v>0</v>
      </c>
      <c r="J160">
        <f t="shared" si="63"/>
        <v>-8.51</v>
      </c>
      <c r="K160" s="3">
        <f t="shared" si="64"/>
        <v>-13.65101325</v>
      </c>
      <c r="L160" s="3">
        <f t="shared" si="65"/>
        <v>0.97804691311666825</v>
      </c>
      <c r="M160" s="3">
        <f t="shared" si="66"/>
        <v>0</v>
      </c>
      <c r="O160">
        <f t="shared" si="67"/>
        <v>-21.182966336883332</v>
      </c>
      <c r="P160">
        <f t="shared" si="68"/>
        <v>-4.2433770878287355E-2</v>
      </c>
      <c r="R160" s="10"/>
    </row>
    <row r="161" spans="1:18" ht="15" customHeight="1">
      <c r="A161" t="s">
        <v>26</v>
      </c>
      <c r="B161" s="7">
        <f>('MATERIAL BALANCE'!AM8)/(60*24*60)</f>
        <v>5.7919512442129624E-2</v>
      </c>
      <c r="E161">
        <v>3.2490000000000001</v>
      </c>
      <c r="F161">
        <v>0.42199999999999999</v>
      </c>
      <c r="G161">
        <v>0</v>
      </c>
      <c r="H161">
        <v>8.3000000000000004E-2</v>
      </c>
      <c r="J161">
        <f t="shared" si="63"/>
        <v>-16.245000000000001</v>
      </c>
      <c r="K161" s="3">
        <f t="shared" si="64"/>
        <v>-0.63437149999999998</v>
      </c>
      <c r="L161" s="3">
        <f t="shared" si="65"/>
        <v>0</v>
      </c>
      <c r="M161" s="3">
        <f t="shared" si="66"/>
        <v>0.45915118601102467</v>
      </c>
      <c r="O161">
        <f t="shared" si="67"/>
        <v>-16.420220313988978</v>
      </c>
      <c r="P161">
        <f t="shared" si="68"/>
        <v>-7.9070393008292319</v>
      </c>
      <c r="R161" s="10"/>
    </row>
    <row r="162" spans="1:18" ht="15" customHeight="1">
      <c r="A162" t="s">
        <v>29</v>
      </c>
      <c r="B162" s="7">
        <f>('MATERIAL BALANCE'!AM9)/(60*24*60)</f>
        <v>7.9110677083333398E-4</v>
      </c>
      <c r="E162">
        <v>3.3759999999999999</v>
      </c>
      <c r="F162">
        <v>0.55700000000000005</v>
      </c>
      <c r="G162">
        <v>0</v>
      </c>
      <c r="H162">
        <v>-3.1E-2</v>
      </c>
      <c r="J162">
        <f t="shared" si="63"/>
        <v>-16.88</v>
      </c>
      <c r="K162" s="3">
        <f t="shared" si="64"/>
        <v>-0.83731025000000014</v>
      </c>
      <c r="L162" s="3">
        <f t="shared" si="65"/>
        <v>0</v>
      </c>
      <c r="M162" s="3">
        <f t="shared" si="66"/>
        <v>-0.17149020200411766</v>
      </c>
      <c r="O162">
        <f t="shared" si="67"/>
        <v>-17.888800452004119</v>
      </c>
      <c r="P162">
        <f t="shared" si="68"/>
        <v>-0.11765932194147032</v>
      </c>
      <c r="R162" s="10"/>
    </row>
    <row r="163" spans="1:18" ht="15" customHeight="1">
      <c r="A163" t="s">
        <v>19</v>
      </c>
      <c r="B163" s="7">
        <f>('MATERIAL BALANCE'!AM10)/(60*24*60)</f>
        <v>6.8829658564814782E-3</v>
      </c>
      <c r="E163">
        <v>3.47</v>
      </c>
      <c r="F163">
        <v>1.45</v>
      </c>
      <c r="G163">
        <v>0</v>
      </c>
      <c r="H163">
        <v>0.121</v>
      </c>
      <c r="J163">
        <f t="shared" si="63"/>
        <v>-17.350000000000001</v>
      </c>
      <c r="K163" s="3">
        <f t="shared" si="64"/>
        <v>-2.1797124999999999</v>
      </c>
      <c r="L163" s="3">
        <f t="shared" si="65"/>
        <v>0</v>
      </c>
      <c r="M163" s="3">
        <f t="shared" si="66"/>
        <v>0.66936498201607209</v>
      </c>
      <c r="O163">
        <f t="shared" si="67"/>
        <v>-18.860347517983929</v>
      </c>
      <c r="P163">
        <f t="shared" si="68"/>
        <v>-1.0792829742556733</v>
      </c>
      <c r="R163" s="10"/>
    </row>
    <row r="164" spans="1:18" ht="15" customHeight="1">
      <c r="A164" t="s">
        <v>28</v>
      </c>
      <c r="B164" s="7">
        <f>('MATERIAL BALANCE'!AM6)/(60*24*60)</f>
        <v>2.2662037037037035E-4</v>
      </c>
      <c r="E164">
        <v>20.786000000000001</v>
      </c>
      <c r="F164">
        <v>1.2300000000000001E-4</v>
      </c>
      <c r="G164">
        <f>-0.136</f>
        <v>-0.13600000000000001</v>
      </c>
      <c r="H164">
        <v>0</v>
      </c>
      <c r="J164">
        <f t="shared" si="63"/>
        <v>-103.93</v>
      </c>
      <c r="K164" s="3">
        <f t="shared" si="64"/>
        <v>-1.8489974999999999E-4</v>
      </c>
      <c r="L164" s="3">
        <f t="shared" si="65"/>
        <v>6.1466903966666764E-2</v>
      </c>
      <c r="M164" s="3">
        <f t="shared" si="66"/>
        <v>0</v>
      </c>
      <c r="O164">
        <f t="shared" si="67"/>
        <v>-103.86871799578334</v>
      </c>
      <c r="P164">
        <f t="shared" si="68"/>
        <v>-0.19570131168221916</v>
      </c>
      <c r="Q164" s="2">
        <f>SUM(P158:P164)</f>
        <v>-12.504459061559439</v>
      </c>
      <c r="R164" s="10"/>
    </row>
    <row r="165" spans="1:18" ht="15" customHeight="1">
      <c r="R165" s="10"/>
    </row>
    <row r="166" spans="1:18" ht="15" customHeight="1">
      <c r="A166" t="s">
        <v>63</v>
      </c>
      <c r="R166" s="10"/>
    </row>
    <row r="167" spans="1:18" ht="15" customHeight="1">
      <c r="B167">
        <v>30</v>
      </c>
      <c r="C167">
        <f>B167+273.15</f>
        <v>303.14999999999998</v>
      </c>
      <c r="R167" s="10"/>
    </row>
    <row r="168" spans="1:18" ht="15" customHeight="1">
      <c r="R168" s="10"/>
    </row>
    <row r="169" spans="1:18" ht="15" customHeight="1">
      <c r="A169" t="s">
        <v>20</v>
      </c>
      <c r="B169" s="7">
        <f>('MATERIAL BALANCE'!AO4)/(60*24*60)</f>
        <v>1.930648148148148E-2</v>
      </c>
      <c r="E169">
        <f t="shared" ref="E169:H172" si="69">E158</f>
        <v>3.28</v>
      </c>
      <c r="F169">
        <f t="shared" si="69"/>
        <v>0.59299999999999997</v>
      </c>
      <c r="G169">
        <f t="shared" si="69"/>
        <v>0</v>
      </c>
      <c r="H169">
        <f t="shared" si="69"/>
        <v>0.04</v>
      </c>
      <c r="J169">
        <f t="shared" ref="J169:J175" si="70">E169*($B$22-$C$167)*-1</f>
        <v>16.399999999999999</v>
      </c>
      <c r="K169" s="3">
        <f t="shared" ref="K169:K175" si="71">F169*$F$8*($B$22^2-$C$167^2)*(1/2)*-1</f>
        <v>0.89142725</v>
      </c>
      <c r="L169">
        <f t="shared" ref="L169:L175" si="72">G169*$G$8*($B$22^3-$C$167^3)*(1/3)*-1</f>
        <v>0</v>
      </c>
      <c r="M169">
        <f t="shared" ref="M169:M175" si="73">H169*$H$8*(1/$B$22-1/$C$167)*-1</f>
        <v>-0.22127768000531312</v>
      </c>
      <c r="O169">
        <f t="shared" ref="O169:O175" si="74">SUM(J169:M169)</f>
        <v>17.070149569994683</v>
      </c>
      <c r="P169">
        <f t="shared" ref="P169:P175" si="75">O169*B169*$K$6</f>
        <v>2.7399994738133668</v>
      </c>
      <c r="R169" s="10"/>
    </row>
    <row r="170" spans="1:18" ht="15" customHeight="1">
      <c r="A170" t="s">
        <v>25</v>
      </c>
      <c r="B170" s="7">
        <f>('MATERIAL BALANCE'!AO5)/(60*24*60)</f>
        <v>2.5133842481303409E-3</v>
      </c>
      <c r="E170">
        <f t="shared" si="69"/>
        <v>3.6389999999999998</v>
      </c>
      <c r="F170">
        <f t="shared" si="69"/>
        <v>0.50600000000000001</v>
      </c>
      <c r="G170">
        <f t="shared" si="69"/>
        <v>0</v>
      </c>
      <c r="H170">
        <f t="shared" si="69"/>
        <v>-0.22700000000000001</v>
      </c>
      <c r="J170">
        <f t="shared" si="70"/>
        <v>18.195</v>
      </c>
      <c r="K170" s="3">
        <f t="shared" si="71"/>
        <v>0.76064450000000006</v>
      </c>
      <c r="L170">
        <f t="shared" si="72"/>
        <v>0</v>
      </c>
      <c r="M170">
        <f t="shared" si="73"/>
        <v>1.2557508340301518</v>
      </c>
      <c r="O170">
        <f t="shared" si="74"/>
        <v>20.211395334030154</v>
      </c>
      <c r="P170">
        <f t="shared" si="75"/>
        <v>0.42234290815919162</v>
      </c>
      <c r="R170" s="10"/>
    </row>
    <row r="171" spans="1:18" ht="15" customHeight="1">
      <c r="A171" t="s">
        <v>18</v>
      </c>
      <c r="B171" s="7">
        <f>('MATERIAL BALANCE'!AO7)/(60*24*60)</f>
        <v>2.4094328703703726E-4</v>
      </c>
      <c r="E171">
        <f t="shared" si="69"/>
        <v>1.702</v>
      </c>
      <c r="F171">
        <f t="shared" si="69"/>
        <v>9.0809999999999995</v>
      </c>
      <c r="G171">
        <f t="shared" si="69"/>
        <v>-2.1640000000000001</v>
      </c>
      <c r="H171">
        <f t="shared" si="69"/>
        <v>0</v>
      </c>
      <c r="J171">
        <f t="shared" si="70"/>
        <v>8.51</v>
      </c>
      <c r="K171" s="3">
        <f t="shared" si="71"/>
        <v>13.65101325</v>
      </c>
      <c r="L171">
        <f t="shared" si="72"/>
        <v>-0.97804691311666825</v>
      </c>
      <c r="M171">
        <f t="shared" si="73"/>
        <v>0</v>
      </c>
      <c r="O171">
        <f t="shared" si="74"/>
        <v>21.182966336883332</v>
      </c>
      <c r="P171">
        <f t="shared" si="75"/>
        <v>4.2433770878287355E-2</v>
      </c>
      <c r="R171" s="10"/>
    </row>
    <row r="172" spans="1:18" ht="15" customHeight="1">
      <c r="A172" t="s">
        <v>26</v>
      </c>
      <c r="B172" s="7">
        <f>('MATERIAL BALANCE'!AO8)/(60*24*60)</f>
        <v>5.7919512442129624E-2</v>
      </c>
      <c r="E172">
        <f t="shared" si="69"/>
        <v>3.2490000000000001</v>
      </c>
      <c r="F172">
        <f t="shared" si="69"/>
        <v>0.42199999999999999</v>
      </c>
      <c r="G172">
        <f t="shared" si="69"/>
        <v>0</v>
      </c>
      <c r="H172">
        <f t="shared" si="69"/>
        <v>8.3000000000000004E-2</v>
      </c>
      <c r="J172">
        <f t="shared" si="70"/>
        <v>16.245000000000001</v>
      </c>
      <c r="K172" s="3">
        <f t="shared" si="71"/>
        <v>0.63437149999999998</v>
      </c>
      <c r="L172">
        <f t="shared" si="72"/>
        <v>0</v>
      </c>
      <c r="M172">
        <f t="shared" si="73"/>
        <v>-0.45915118601102467</v>
      </c>
      <c r="O172">
        <f t="shared" si="74"/>
        <v>16.420220313988978</v>
      </c>
      <c r="P172">
        <f t="shared" si="75"/>
        <v>7.9070393008292319</v>
      </c>
      <c r="R172" s="10"/>
    </row>
    <row r="173" spans="1:18" ht="15" customHeight="1">
      <c r="A173" t="s">
        <v>79</v>
      </c>
      <c r="B173" s="7">
        <f>('MATERIAL BALANCE'!AO9)/(60*24*60)</f>
        <v>6.8829658564814782E-3</v>
      </c>
      <c r="E173">
        <f>E163</f>
        <v>3.47</v>
      </c>
      <c r="F173">
        <f>F163</f>
        <v>1.45</v>
      </c>
      <c r="G173">
        <f>G163</f>
        <v>0</v>
      </c>
      <c r="H173">
        <f>H163</f>
        <v>0.121</v>
      </c>
      <c r="J173">
        <f t="shared" si="70"/>
        <v>17.350000000000001</v>
      </c>
      <c r="K173" s="3">
        <f t="shared" si="71"/>
        <v>2.1797124999999999</v>
      </c>
      <c r="L173">
        <f t="shared" si="72"/>
        <v>0</v>
      </c>
      <c r="M173">
        <f t="shared" si="73"/>
        <v>-0.66936498201607209</v>
      </c>
      <c r="O173">
        <f t="shared" si="74"/>
        <v>18.860347517983929</v>
      </c>
      <c r="P173">
        <f t="shared" si="75"/>
        <v>1.0792829742556733</v>
      </c>
      <c r="R173" s="10"/>
    </row>
    <row r="174" spans="1:18" ht="15" customHeight="1">
      <c r="A174" t="s">
        <v>28</v>
      </c>
      <c r="B174" s="7">
        <f>('MATERIAL BALANCE'!AO6)/(60*24*60)</f>
        <v>2.2662037037037035E-4</v>
      </c>
      <c r="E174">
        <v>20.786000000000001</v>
      </c>
      <c r="F174">
        <v>1.2300000000000001E-4</v>
      </c>
      <c r="G174">
        <f>-0.136</f>
        <v>-0.13600000000000001</v>
      </c>
      <c r="H174">
        <v>0</v>
      </c>
      <c r="J174">
        <f t="shared" si="70"/>
        <v>103.93</v>
      </c>
      <c r="K174" s="3">
        <f t="shared" si="71"/>
        <v>1.8489974999999999E-4</v>
      </c>
      <c r="L174">
        <f t="shared" si="72"/>
        <v>-6.1466903966666764E-2</v>
      </c>
      <c r="M174">
        <f t="shared" si="73"/>
        <v>0</v>
      </c>
      <c r="O174">
        <f t="shared" si="74"/>
        <v>103.86871799578334</v>
      </c>
      <c r="P174">
        <f t="shared" si="75"/>
        <v>0.19570131168221916</v>
      </c>
      <c r="R174" s="10"/>
    </row>
    <row r="175" spans="1:18" ht="15" customHeight="1">
      <c r="A175" t="s">
        <v>29</v>
      </c>
      <c r="B175">
        <v>7.9110677083333398E-4</v>
      </c>
      <c r="E175">
        <v>3.3759999999999999</v>
      </c>
      <c r="F175">
        <v>0.55700000000000005</v>
      </c>
      <c r="G175">
        <v>0</v>
      </c>
      <c r="H175">
        <v>-3.1E-2</v>
      </c>
      <c r="J175">
        <f t="shared" si="70"/>
        <v>16.88</v>
      </c>
      <c r="K175" s="3">
        <f t="shared" si="71"/>
        <v>0.83731025000000014</v>
      </c>
      <c r="L175">
        <f t="shared" si="72"/>
        <v>0</v>
      </c>
      <c r="M175">
        <f t="shared" si="73"/>
        <v>0.17149020200411766</v>
      </c>
      <c r="O175">
        <f t="shared" si="74"/>
        <v>17.888800452004119</v>
      </c>
      <c r="P175">
        <f t="shared" si="75"/>
        <v>0.11765932194147032</v>
      </c>
      <c r="Q175" s="2">
        <f>SUM(P169:P175)</f>
        <v>12.504459061559439</v>
      </c>
      <c r="R175" s="10"/>
    </row>
    <row r="176" spans="1:18" ht="15" customHeight="1">
      <c r="F176" s="13" t="s">
        <v>10</v>
      </c>
      <c r="P176" t="s">
        <v>54</v>
      </c>
      <c r="Q176" s="8">
        <f>Q164+Q175</f>
        <v>0</v>
      </c>
      <c r="R176" s="10"/>
    </row>
    <row r="177" spans="1:18" ht="15" customHeight="1">
      <c r="R177" s="10"/>
    </row>
    <row r="178" spans="1:18" ht="15" customHeight="1">
      <c r="R178" s="10"/>
    </row>
    <row r="179" spans="1:18" ht="15" customHeight="1">
      <c r="A179" t="s">
        <v>58</v>
      </c>
      <c r="D179" t="s">
        <v>59</v>
      </c>
      <c r="E179">
        <f>-92</f>
        <v>-92</v>
      </c>
      <c r="R179" s="10"/>
    </row>
    <row r="180" spans="1:18" ht="15" customHeight="1">
      <c r="B180">
        <v>30</v>
      </c>
      <c r="C180">
        <f>B180+273.15</f>
        <v>303.14999999999998</v>
      </c>
      <c r="R180" s="10"/>
    </row>
    <row r="181" spans="1:18" ht="15" customHeight="1">
      <c r="R181" s="10"/>
    </row>
    <row r="182" spans="1:18" ht="15" customHeight="1">
      <c r="A182" t="s">
        <v>20</v>
      </c>
      <c r="B182">
        <f>('MATERIAL BALANCE'!AW4)/(60*60*24)</f>
        <v>0.10637935729847493</v>
      </c>
      <c r="E182">
        <v>3.28</v>
      </c>
      <c r="F182">
        <v>0.59299999999999997</v>
      </c>
      <c r="G182">
        <v>0</v>
      </c>
      <c r="H182">
        <v>0.04</v>
      </c>
      <c r="J182">
        <f>E182*($B$22-$C$180)</f>
        <v>-16.399999999999999</v>
      </c>
      <c r="K182" s="3">
        <f>F182*$F$8*($B$22-$C$180)</f>
        <v>-2.9649999999999998E-3</v>
      </c>
      <c r="L182">
        <f>G182*$G$8*(1/3)*($B$22^3-$C$180^3)</f>
        <v>0</v>
      </c>
      <c r="M182">
        <f>H182*$H$8*(1/($B$22)-1/($C$180))</f>
        <v>0.22127768000531312</v>
      </c>
      <c r="O182">
        <f>SUM(J182:M182)</f>
        <v>-16.181687319994687</v>
      </c>
      <c r="P182">
        <f>O182*B182*$K$6</f>
        <v>-14.311698790938586</v>
      </c>
      <c r="R182" s="10"/>
    </row>
    <row r="183" spans="1:18" ht="15" customHeight="1">
      <c r="A183" t="s">
        <v>26</v>
      </c>
      <c r="B183">
        <f>('MATERIAL BALANCE'!AW5)/(60*60*24)</f>
        <v>0.31913807189542481</v>
      </c>
      <c r="E183">
        <v>3.2490000000000001</v>
      </c>
      <c r="F183">
        <v>0.42199999999999999</v>
      </c>
      <c r="G183">
        <v>0</v>
      </c>
      <c r="H183">
        <v>8.3000000000000004E-2</v>
      </c>
      <c r="J183">
        <f>E183*($B$22-$C$180)</f>
        <v>-16.245000000000001</v>
      </c>
      <c r="K183" s="3">
        <f>F183*$F$8*($B$22-$C$180)</f>
        <v>-2.1099999999999999E-3</v>
      </c>
      <c r="L183">
        <f>G183*$G$8*(1/3)*($B$22^3-$C$180^3)</f>
        <v>0</v>
      </c>
      <c r="M183">
        <f>H183*$H$8*(1/($B$22)-1/($C$180))</f>
        <v>0.45915118601102467</v>
      </c>
      <c r="O183">
        <f>SUM(J183:M183)</f>
        <v>-15.787958813988975</v>
      </c>
      <c r="P183">
        <f>O183*B183*$K$6</f>
        <v>-41.89041104329565</v>
      </c>
      <c r="R183" s="10"/>
    </row>
    <row r="184" spans="1:18" ht="15" customHeight="1">
      <c r="A184" t="s">
        <v>28</v>
      </c>
      <c r="B184">
        <f>('MATERIAL BALANCE'!AW6)/(60*60*24)</f>
        <v>1.2464120370370368E-3</v>
      </c>
      <c r="E184">
        <v>20.786000000000001</v>
      </c>
      <c r="F184">
        <v>1.2300000000000001E-4</v>
      </c>
      <c r="G184">
        <f>-0.136</f>
        <v>-0.13600000000000001</v>
      </c>
      <c r="H184">
        <v>0</v>
      </c>
      <c r="J184">
        <f>E184*($B$22-$C$180)</f>
        <v>-103.93</v>
      </c>
      <c r="K184" s="3">
        <f>F184*$F$8*($B$22-$C$180)</f>
        <v>-6.1500000000000004E-7</v>
      </c>
      <c r="L184">
        <f>G184*$G$8*(1/3)*($B$22^3-$C$180^3)</f>
        <v>6.1466903966666764E-2</v>
      </c>
      <c r="M184">
        <f>H184*$H$8*(1/($B$22)-1/($C$180))</f>
        <v>0</v>
      </c>
      <c r="O184">
        <f>SUM(J184:M184)</f>
        <v>-103.86853371103335</v>
      </c>
      <c r="P184">
        <f>O184*B184*$K$6</f>
        <v>-1.076355304570215</v>
      </c>
      <c r="Q184" s="2">
        <f>SUM(P182:P184)</f>
        <v>-57.278465138804449</v>
      </c>
      <c r="R184" s="10"/>
    </row>
    <row r="185" spans="1:18" ht="15" customHeight="1">
      <c r="K185" s="3"/>
      <c r="R185" s="10"/>
    </row>
    <row r="186" spans="1:18" ht="15" customHeight="1">
      <c r="A186" t="s">
        <v>63</v>
      </c>
      <c r="K186" s="3"/>
      <c r="R186" s="10"/>
    </row>
    <row r="187" spans="1:18" ht="15" customHeight="1">
      <c r="B187">
        <v>450</v>
      </c>
      <c r="C187">
        <f>B187+273.15</f>
        <v>723.15</v>
      </c>
      <c r="K187" s="3"/>
      <c r="R187" s="10"/>
    </row>
    <row r="188" spans="1:18" ht="15" customHeight="1">
      <c r="K188" s="3"/>
      <c r="R188" s="10"/>
    </row>
    <row r="189" spans="1:18" ht="15" customHeight="1">
      <c r="A189" t="s">
        <v>20</v>
      </c>
      <c r="B189">
        <f>('MATERIAL BALANCE'!AY4)/(24*60*60)</f>
        <v>8.9358660130718942E-2</v>
      </c>
      <c r="E189">
        <f t="shared" ref="E189:H190" si="76">E182</f>
        <v>3.28</v>
      </c>
      <c r="F189">
        <f t="shared" si="76"/>
        <v>0.59299999999999997</v>
      </c>
      <c r="G189">
        <f t="shared" si="76"/>
        <v>0</v>
      </c>
      <c r="H189">
        <f t="shared" si="76"/>
        <v>0.04</v>
      </c>
      <c r="J189">
        <f>E189*($B$22-$C$180)*-1</f>
        <v>16.399999999999999</v>
      </c>
      <c r="K189" s="3">
        <f>F189*$F$8*($B$22-$C$180)*-1</f>
        <v>2.9649999999999998E-3</v>
      </c>
      <c r="L189">
        <f>G189*$G$8*(1/3)*($B$22^3-$C$180^3)*-1</f>
        <v>0</v>
      </c>
      <c r="M189">
        <f>H189*$H$8*(1/($B$22)-1/($C$180))*-1</f>
        <v>-0.22127768000531312</v>
      </c>
      <c r="O189">
        <f>SUM(J189:M189)</f>
        <v>16.181687319994687</v>
      </c>
      <c r="P189">
        <f>O189*B189*$K$6</f>
        <v>12.021826984388413</v>
      </c>
      <c r="R189" s="10"/>
    </row>
    <row r="190" spans="1:18" ht="15" customHeight="1">
      <c r="A190" t="s">
        <v>26</v>
      </c>
      <c r="B190">
        <f>('MATERIAL BALANCE'!AY5)/(24*60*60)</f>
        <v>0.2680759803921568</v>
      </c>
      <c r="E190">
        <f t="shared" si="76"/>
        <v>3.2490000000000001</v>
      </c>
      <c r="F190">
        <f t="shared" si="76"/>
        <v>0.42199999999999999</v>
      </c>
      <c r="G190">
        <f t="shared" si="76"/>
        <v>0</v>
      </c>
      <c r="H190">
        <f t="shared" si="76"/>
        <v>8.3000000000000004E-2</v>
      </c>
      <c r="J190">
        <f>E190*($B$22-$C$180)*-1</f>
        <v>16.245000000000001</v>
      </c>
      <c r="K190" s="3">
        <f>F190*$F$8*($B$22-$C$180)*-1</f>
        <v>2.1099999999999999E-3</v>
      </c>
      <c r="L190">
        <f>G190*$G$8*(1/3)*($B$22^3-$C$180^3)*-1</f>
        <v>0</v>
      </c>
      <c r="M190">
        <f>H190*$H$8*(1/($B$22)-1/($C$180))*-1</f>
        <v>-0.45915118601102467</v>
      </c>
      <c r="O190">
        <f>SUM(J190:M190)</f>
        <v>15.787958813988975</v>
      </c>
      <c r="P190">
        <f>O190*B190*$K$6</f>
        <v>35.187945276368346</v>
      </c>
      <c r="R190" s="10"/>
    </row>
    <row r="191" spans="1:18" ht="15" customHeight="1">
      <c r="A191" t="s">
        <v>21</v>
      </c>
      <c r="B191">
        <f>('MATERIAL BALANCE'!AY7)/(24*60*60)</f>
        <v>3.4041394335511982E-2</v>
      </c>
      <c r="E191">
        <f>29.75</f>
        <v>29.75</v>
      </c>
      <c r="F191">
        <f>0.00254</f>
        <v>2.5400000000000002E-3</v>
      </c>
      <c r="G191">
        <f>-1.226</f>
        <v>-1.226</v>
      </c>
      <c r="H191">
        <f>7.55*10^5</f>
        <v>755000</v>
      </c>
      <c r="J191">
        <f>E191*($B$22-$C$180)*-1</f>
        <v>148.75</v>
      </c>
      <c r="K191" s="3">
        <f>F191*$F$8*($B$22-$C$180)*-1</f>
        <v>1.27E-5</v>
      </c>
      <c r="L191">
        <f>G191*$G$8*(1/3)*($B$22^3-$C$180^3)*-1</f>
        <v>-0.55410606075833424</v>
      </c>
      <c r="M191">
        <f>10^-5*(H191*$H$8*(1/($B$22)-1/($C$180))*-1)</f>
        <v>-41.766162101002848</v>
      </c>
      <c r="O191">
        <f>SUM(J191:M191)</f>
        <v>106.42974453823884</v>
      </c>
      <c r="P191">
        <f>O191*B191*$K$6</f>
        <v>30.12176253032808</v>
      </c>
      <c r="R191" s="10"/>
    </row>
    <row r="192" spans="1:18" ht="15" customHeight="1">
      <c r="A192" t="s">
        <v>28</v>
      </c>
      <c r="B192">
        <f>('MATERIAL BALANCE'!AY6)/(24*60*60)</f>
        <v>1.2464120370370368E-3</v>
      </c>
      <c r="E192">
        <v>20.786000000000001</v>
      </c>
      <c r="F192">
        <v>1.2300000000000001E-4</v>
      </c>
      <c r="G192">
        <f>-0.136</f>
        <v>-0.13600000000000001</v>
      </c>
      <c r="H192">
        <v>0</v>
      </c>
      <c r="J192">
        <f>E192*($B$22-$C$180)*-1</f>
        <v>103.93</v>
      </c>
      <c r="K192" s="3">
        <f>F192*$F$8*($B$22-$C$180)*-1</f>
        <v>6.1500000000000004E-7</v>
      </c>
      <c r="L192">
        <f>G192*$G$8*(1/3)*($B$22^3-$C$180^3)*-1</f>
        <v>-6.1466903966666764E-2</v>
      </c>
      <c r="M192">
        <f>H192*$H$8*(1/($B$22)-1/($C$180))*-1</f>
        <v>0</v>
      </c>
      <c r="O192">
        <f>SUM(J192:M192)</f>
        <v>103.86853371103335</v>
      </c>
      <c r="P192">
        <f>O192*B192*$K$6</f>
        <v>1.076355304570215</v>
      </c>
      <c r="Q192" s="2">
        <f>SUM(P189:P192)</f>
        <v>78.407890095655048</v>
      </c>
      <c r="R192" s="10"/>
    </row>
    <row r="193" spans="16:18" ht="15" customHeight="1">
      <c r="R193" s="10"/>
    </row>
    <row r="194" spans="16:18" ht="15" customHeight="1">
      <c r="P194" t="s">
        <v>54</v>
      </c>
      <c r="Q194" s="8">
        <f>Q192+Q184+(E179*'ENERGY BALANCE'!AX11*1000/(24*60*60))</f>
        <v>21.129424956850599</v>
      </c>
      <c r="R194" s="10"/>
    </row>
    <row r="195" spans="16:18" ht="15" customHeight="1">
      <c r="R195" s="10"/>
    </row>
    <row r="196" spans="16:18" ht="15" customHeight="1">
      <c r="R196" s="10"/>
    </row>
    <row r="197" spans="16:18" ht="15" customHeight="1">
      <c r="R197" s="10"/>
    </row>
    <row r="198" spans="16:18" ht="15" customHeight="1">
      <c r="R198" s="10"/>
    </row>
    <row r="199" spans="16:18" ht="15" customHeight="1">
      <c r="R199" s="10"/>
    </row>
    <row r="200" spans="16:18" ht="15" customHeight="1">
      <c r="R200" s="10"/>
    </row>
    <row r="201" spans="16:18" ht="15" customHeight="1">
      <c r="R201" s="10"/>
    </row>
    <row r="202" spans="16:18" ht="15" customHeight="1">
      <c r="R202" s="10"/>
    </row>
    <row r="203" spans="16:18" ht="15" customHeight="1">
      <c r="R203" s="10"/>
    </row>
    <row r="204" spans="16:18" ht="15" customHeight="1">
      <c r="R204" s="10"/>
    </row>
    <row r="205" spans="16:18" ht="15" customHeight="1">
      <c r="R205" s="10"/>
    </row>
    <row r="206" spans="16:18" ht="15" customHeight="1">
      <c r="R206" s="10"/>
    </row>
    <row r="207" spans="16:18" ht="15" customHeight="1">
      <c r="R207" s="10"/>
    </row>
  </sheetData>
  <pageMargins left="0.7" right="0.7" top="0.75" bottom="0.75" header="0.3" footer="0.3"/>
  <ignoredErrors>
    <ignoredError sqref="C5 M19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92E14-6762-46ED-9534-842A498366F4}">
  <dimension ref="B1:AP385"/>
  <sheetViews>
    <sheetView zoomScale="106" workbookViewId="0">
      <selection activeCell="N270" sqref="N270"/>
    </sheetView>
  </sheetViews>
  <sheetFormatPr defaultRowHeight="14.4"/>
  <cols>
    <col min="2" max="2" width="39" bestFit="1" customWidth="1"/>
    <col min="3" max="3" width="9.6640625" bestFit="1" customWidth="1"/>
    <col min="4" max="4" width="12" bestFit="1" customWidth="1"/>
    <col min="5" max="5" width="12" customWidth="1"/>
    <col min="6" max="6" width="12" bestFit="1" customWidth="1"/>
    <col min="7" max="7" width="11.5546875" bestFit="1" customWidth="1"/>
    <col min="8" max="9" width="11.5546875" customWidth="1"/>
    <col min="10" max="10" width="25.44140625" bestFit="1" customWidth="1"/>
    <col min="11" max="11" width="12" bestFit="1" customWidth="1"/>
    <col min="13" max="13" width="41.5546875" customWidth="1"/>
    <col min="14" max="14" width="39" bestFit="1" customWidth="1"/>
    <col min="15" max="16" width="12" bestFit="1" customWidth="1"/>
    <col min="17" max="17" width="6.6640625" bestFit="1" customWidth="1"/>
    <col min="18" max="18" width="10" bestFit="1" customWidth="1"/>
    <col min="19" max="19" width="12" bestFit="1" customWidth="1"/>
    <col min="21" max="21" width="17.6640625" customWidth="1"/>
    <col min="22" max="22" width="12" bestFit="1" customWidth="1"/>
  </cols>
  <sheetData>
    <row r="1" spans="2:22">
      <c r="B1" s="22" t="s">
        <v>80</v>
      </c>
      <c r="N1" s="22" t="s">
        <v>81</v>
      </c>
    </row>
    <row r="2" spans="2:22">
      <c r="B2" s="19" t="s">
        <v>82</v>
      </c>
      <c r="N2" s="19" t="s">
        <v>83</v>
      </c>
    </row>
    <row r="3" spans="2:22">
      <c r="B3" t="s">
        <v>84</v>
      </c>
      <c r="C3">
        <v>25</v>
      </c>
      <c r="D3">
        <f>C3*1.013*10^5</f>
        <v>2532499.9999999995</v>
      </c>
      <c r="N3" t="s">
        <v>84</v>
      </c>
      <c r="O3">
        <v>1</v>
      </c>
      <c r="P3">
        <f>O3*1.013*10^5</f>
        <v>101299.99999999999</v>
      </c>
    </row>
    <row r="4" spans="2:22">
      <c r="B4" t="s">
        <v>44</v>
      </c>
      <c r="C4">
        <v>300</v>
      </c>
      <c r="D4">
        <f>C4+273.15</f>
        <v>573.15</v>
      </c>
      <c r="N4" t="s">
        <v>44</v>
      </c>
      <c r="O4">
        <v>25</v>
      </c>
      <c r="P4">
        <f>O4+273.15</f>
        <v>298.14999999999998</v>
      </c>
    </row>
    <row r="5" spans="2:22">
      <c r="B5" t="s">
        <v>47</v>
      </c>
      <c r="C5">
        <v>8.3140000000000001</v>
      </c>
      <c r="D5">
        <v>8.3140000000000001</v>
      </c>
      <c r="N5" t="s">
        <v>47</v>
      </c>
      <c r="O5">
        <v>8.3140000000000001</v>
      </c>
      <c r="P5">
        <v>8.3140000000000001</v>
      </c>
    </row>
    <row r="7" spans="2:22">
      <c r="C7" t="s">
        <v>85</v>
      </c>
      <c r="D7" t="s">
        <v>86</v>
      </c>
      <c r="E7" t="s">
        <v>87</v>
      </c>
      <c r="F7" t="s">
        <v>88</v>
      </c>
      <c r="G7" t="s">
        <v>89</v>
      </c>
      <c r="O7" t="s">
        <v>85</v>
      </c>
      <c r="P7" t="s">
        <v>86</v>
      </c>
      <c r="Q7" t="s">
        <v>87</v>
      </c>
      <c r="R7" t="s">
        <v>88</v>
      </c>
      <c r="S7" t="s">
        <v>89</v>
      </c>
    </row>
    <row r="8" spans="2:22">
      <c r="B8" t="s">
        <v>18</v>
      </c>
      <c r="C8">
        <v>1387.9</v>
      </c>
      <c r="D8">
        <f>(C8*1000)/(24*60*60)</f>
        <v>16.063657407407408</v>
      </c>
      <c r="E8">
        <f>10.12</f>
        <v>10.119999999999999</v>
      </c>
      <c r="F8">
        <f>18.6*10^-6</f>
        <v>1.8600000000000001E-5</v>
      </c>
      <c r="G8">
        <f>D8/D11</f>
        <v>0.9700167738328207</v>
      </c>
      <c r="J8" s="20" t="s">
        <v>90</v>
      </c>
      <c r="K8" s="20">
        <f>(D11*D5*D4)/D3</f>
        <v>3.1159756262476697E-2</v>
      </c>
      <c r="N8" t="s">
        <v>3</v>
      </c>
      <c r="O8">
        <v>2138.6</v>
      </c>
      <c r="P8">
        <f>(O8*1000)/(24*60*60)</f>
        <v>24.752314814814813</v>
      </c>
      <c r="Q8">
        <v>1.18</v>
      </c>
      <c r="R8">
        <f>18.6*10^-6</f>
        <v>1.8600000000000001E-5</v>
      </c>
      <c r="S8">
        <f>P8/P11</f>
        <v>1</v>
      </c>
      <c r="U8" s="20" t="s">
        <v>90</v>
      </c>
      <c r="V8" s="20">
        <f>(P11*P5*P4)/P3</f>
        <v>0.6056911227263172</v>
      </c>
    </row>
    <row r="9" spans="2:22">
      <c r="B9" t="s">
        <v>22</v>
      </c>
      <c r="C9">
        <v>42.9</v>
      </c>
      <c r="D9">
        <f>(C9*1000)/(24*60*60)</f>
        <v>0.49652777777777779</v>
      </c>
      <c r="E9">
        <f>22.19</f>
        <v>22.19</v>
      </c>
      <c r="F9">
        <f>16.9*10^-6</f>
        <v>1.6899999999999997E-5</v>
      </c>
      <c r="G9">
        <f>D9/D11</f>
        <v>2.9983226167179199E-2</v>
      </c>
    </row>
    <row r="10" spans="2:22">
      <c r="J10" s="21" t="s">
        <v>91</v>
      </c>
      <c r="K10" s="21"/>
      <c r="U10" s="21" t="s">
        <v>91</v>
      </c>
      <c r="V10" s="21"/>
    </row>
    <row r="11" spans="2:22">
      <c r="C11" s="20" t="s">
        <v>92</v>
      </c>
      <c r="D11" s="20">
        <f>SUM(D8:D9)</f>
        <v>16.560185185185187</v>
      </c>
      <c r="E11" s="20">
        <f>(E8*G8)+(E9*G9)</f>
        <v>10.481897539837851</v>
      </c>
      <c r="F11" s="20">
        <f>(G8*F8)+(G9*F9)</f>
        <v>1.8549028515515796E-5</v>
      </c>
      <c r="G11" s="20">
        <f>SUM(G8:G9)</f>
        <v>0.99999999999999989</v>
      </c>
      <c r="J11" s="21" t="s">
        <v>93</v>
      </c>
      <c r="K11" s="21"/>
      <c r="O11" s="20" t="s">
        <v>92</v>
      </c>
      <c r="P11" s="20">
        <f>SUM(P8:P9)</f>
        <v>24.752314814814813</v>
      </c>
      <c r="Q11" s="20">
        <f>(Q8*S8)+(Q9*S9)</f>
        <v>1.18</v>
      </c>
      <c r="R11" s="20">
        <f>(S8*R8)+(S9*R9)</f>
        <v>1.8600000000000001E-5</v>
      </c>
      <c r="S11" s="20">
        <f>SUM(S8:S9)</f>
        <v>1</v>
      </c>
      <c r="U11" s="21" t="s">
        <v>93</v>
      </c>
      <c r="V11" s="21"/>
    </row>
    <row r="12" spans="2:22">
      <c r="J12" s="21" t="s">
        <v>94</v>
      </c>
      <c r="K12" s="21">
        <f>52.5</f>
        <v>52.5</v>
      </c>
      <c r="U12" s="21" t="s">
        <v>94</v>
      </c>
      <c r="V12" s="21">
        <f>P17</f>
        <v>311.2</v>
      </c>
    </row>
    <row r="13" spans="2:22">
      <c r="J13" s="21" t="s">
        <v>95</v>
      </c>
      <c r="K13" s="21">
        <f>D14</f>
        <v>14.39413474020661</v>
      </c>
      <c r="U13" s="21" t="s">
        <v>95</v>
      </c>
      <c r="V13" s="21">
        <f>P14</f>
        <v>7.9630996498150646</v>
      </c>
    </row>
    <row r="14" spans="2:22">
      <c r="B14" t="s">
        <v>95</v>
      </c>
      <c r="C14">
        <v>10</v>
      </c>
      <c r="D14">
        <f>K8/D15</f>
        <v>14.39413474020661</v>
      </c>
      <c r="F14" s="20" t="s">
        <v>96</v>
      </c>
      <c r="G14" s="20">
        <f>(E11*D14*D16)/F11</f>
        <v>427035.13465684658</v>
      </c>
      <c r="J14" s="21" t="s">
        <v>97</v>
      </c>
      <c r="K14" s="21">
        <f>(K15-K12)/2</f>
        <v>3.8999999999999986</v>
      </c>
      <c r="N14" t="s">
        <v>95</v>
      </c>
      <c r="O14">
        <v>8</v>
      </c>
      <c r="P14">
        <f>V8/P15</f>
        <v>7.9630996498150646</v>
      </c>
      <c r="R14" s="20" t="s">
        <v>96</v>
      </c>
      <c r="S14" s="20">
        <f>(Q11*P14*P16)/R11</f>
        <v>157213.84951647784</v>
      </c>
      <c r="U14" s="21" t="s">
        <v>97</v>
      </c>
      <c r="V14" s="21">
        <f>(V15-V12)/2</f>
        <v>6.3499999999999943</v>
      </c>
    </row>
    <row r="15" spans="2:22">
      <c r="B15" t="s">
        <v>98</v>
      </c>
      <c r="C15">
        <f>K8/C14</f>
        <v>3.1159756262476696E-3</v>
      </c>
      <c r="D15">
        <f>PI()*D16*D16/4</f>
        <v>2.1647536878642167E-3</v>
      </c>
      <c r="F15" s="20" t="s">
        <v>99</v>
      </c>
      <c r="G15" s="20">
        <v>0.02</v>
      </c>
      <c r="J15" s="21" t="s">
        <v>100</v>
      </c>
      <c r="K15" s="21">
        <f>60.3</f>
        <v>60.3</v>
      </c>
      <c r="N15" t="s">
        <v>98</v>
      </c>
      <c r="O15">
        <f>V8/O14</f>
        <v>7.571139034078965E-2</v>
      </c>
      <c r="P15">
        <f>PI()*P16*P16/4</f>
        <v>7.6062230709417755E-2</v>
      </c>
      <c r="R15" s="20" t="s">
        <v>99</v>
      </c>
      <c r="S15" s="20">
        <v>1.5900000000000001E-2</v>
      </c>
      <c r="U15" s="21" t="s">
        <v>100</v>
      </c>
      <c r="V15" s="21">
        <v>323.89999999999998</v>
      </c>
    </row>
    <row r="16" spans="2:22">
      <c r="B16" t="s">
        <v>101</v>
      </c>
      <c r="C16">
        <f>((4*C15)/PI())^0.5</f>
        <v>6.2987168437463881E-2</v>
      </c>
      <c r="D16">
        <f>D17/1000</f>
        <v>5.2499999999999998E-2</v>
      </c>
      <c r="F16" s="20" t="s">
        <v>102</v>
      </c>
      <c r="G16" s="20">
        <v>5</v>
      </c>
      <c r="J16" s="21" t="s">
        <v>103</v>
      </c>
      <c r="K16" s="21">
        <f>G15</f>
        <v>0.02</v>
      </c>
      <c r="N16" t="s">
        <v>101</v>
      </c>
      <c r="O16">
        <f>((4*O15)/PI())^0.5</f>
        <v>0.31048145865538124</v>
      </c>
      <c r="P16">
        <f>P17/1000</f>
        <v>0.31119999999999998</v>
      </c>
      <c r="R16" s="20" t="s">
        <v>102</v>
      </c>
      <c r="S16" s="20">
        <v>8</v>
      </c>
      <c r="U16" s="21" t="s">
        <v>103</v>
      </c>
      <c r="V16" s="21">
        <f>S15</f>
        <v>1.5900000000000001E-2</v>
      </c>
    </row>
    <row r="17" spans="2:22">
      <c r="B17" s="20" t="s">
        <v>104</v>
      </c>
      <c r="C17" s="20">
        <f>C16*1000</f>
        <v>62.987168437463879</v>
      </c>
      <c r="D17">
        <v>52.5</v>
      </c>
      <c r="F17" s="20" t="s">
        <v>105</v>
      </c>
      <c r="G17" s="20">
        <f>G15*G16*E11*D14*D14/(2*D16)</f>
        <v>2068.3390835695841</v>
      </c>
      <c r="J17" s="21" t="s">
        <v>106</v>
      </c>
      <c r="K17" s="21">
        <f>G17/(1.01321*10^5)</f>
        <v>2.0413725521556084E-2</v>
      </c>
      <c r="N17" s="20" t="s">
        <v>104</v>
      </c>
      <c r="O17" s="20">
        <f>O16*1000</f>
        <v>310.48145865538123</v>
      </c>
      <c r="P17">
        <v>311.2</v>
      </c>
      <c r="R17" s="20" t="s">
        <v>105</v>
      </c>
      <c r="S17" s="20">
        <f>S15*S16*Q11*P14*P14/(2*P16)</f>
        <v>15.291984024280012</v>
      </c>
      <c r="U17" s="21" t="s">
        <v>106</v>
      </c>
      <c r="V17" s="21">
        <f>S17/(1.01321*10^5)</f>
        <v>1.5092610637755264E-4</v>
      </c>
    </row>
    <row r="18" spans="2:22">
      <c r="B18" t="s">
        <v>107</v>
      </c>
      <c r="C18">
        <f>C17/25.4</f>
        <v>2.479809781002515</v>
      </c>
      <c r="J18" s="21" t="s">
        <v>108</v>
      </c>
      <c r="K18" s="21"/>
      <c r="N18" t="s">
        <v>107</v>
      </c>
      <c r="O18">
        <f>O17/25.4</f>
        <v>12.223679474621308</v>
      </c>
      <c r="U18" s="21" t="s">
        <v>109</v>
      </c>
      <c r="V18" s="21"/>
    </row>
    <row r="19" spans="2:22">
      <c r="J19" s="21" t="s">
        <v>110</v>
      </c>
      <c r="K19" s="21">
        <v>5</v>
      </c>
      <c r="U19" s="21" t="s">
        <v>110</v>
      </c>
      <c r="V19" s="21">
        <v>5</v>
      </c>
    </row>
    <row r="21" spans="2:22">
      <c r="B21" s="22" t="s">
        <v>111</v>
      </c>
      <c r="N21" s="22" t="s">
        <v>112</v>
      </c>
    </row>
    <row r="22" spans="2:22">
      <c r="B22" s="19" t="s">
        <v>113</v>
      </c>
      <c r="N22" s="19" t="s">
        <v>114</v>
      </c>
    </row>
    <row r="23" spans="2:22">
      <c r="B23" t="s">
        <v>84</v>
      </c>
      <c r="C23">
        <v>25</v>
      </c>
      <c r="D23">
        <f>C23*1.013*10^5</f>
        <v>2532499.9999999995</v>
      </c>
      <c r="N23" t="s">
        <v>84</v>
      </c>
      <c r="O23">
        <v>25</v>
      </c>
      <c r="P23">
        <f>O23*1.013*10^5</f>
        <v>2532499.9999999995</v>
      </c>
    </row>
    <row r="24" spans="2:22">
      <c r="B24" t="s">
        <v>44</v>
      </c>
      <c r="C24">
        <v>300</v>
      </c>
      <c r="D24">
        <f>C24+273.15</f>
        <v>573.15</v>
      </c>
      <c r="N24" t="s">
        <v>44</v>
      </c>
      <c r="O24">
        <v>475</v>
      </c>
      <c r="P24">
        <f>O24+273.15</f>
        <v>748.15</v>
      </c>
    </row>
    <row r="25" spans="2:22">
      <c r="B25" t="s">
        <v>47</v>
      </c>
      <c r="C25">
        <v>8.3140000000000001</v>
      </c>
      <c r="D25">
        <v>8.3140000000000001</v>
      </c>
      <c r="N25" t="s">
        <v>47</v>
      </c>
      <c r="O25">
        <v>8.3140000000000001</v>
      </c>
      <c r="P25">
        <v>8.3140000000000001</v>
      </c>
    </row>
    <row r="27" spans="2:22">
      <c r="C27" t="s">
        <v>85</v>
      </c>
      <c r="D27" t="s">
        <v>86</v>
      </c>
      <c r="E27" t="s">
        <v>87</v>
      </c>
      <c r="F27" t="s">
        <v>88</v>
      </c>
      <c r="G27" t="s">
        <v>89</v>
      </c>
      <c r="O27" t="s">
        <v>85</v>
      </c>
      <c r="P27" t="s">
        <v>86</v>
      </c>
      <c r="Q27" t="s">
        <v>87</v>
      </c>
      <c r="R27" t="s">
        <v>88</v>
      </c>
      <c r="S27" t="s">
        <v>89</v>
      </c>
    </row>
    <row r="28" spans="2:22">
      <c r="B28" t="s">
        <v>18</v>
      </c>
      <c r="C28">
        <v>1387.9</v>
      </c>
      <c r="D28">
        <f>(C28*1000)/(24*60*60)</f>
        <v>16.063657407407408</v>
      </c>
      <c r="E28">
        <f>10.12</f>
        <v>10.119999999999999</v>
      </c>
      <c r="F28">
        <f>18.6*10^-6</f>
        <v>1.8600000000000001E-5</v>
      </c>
      <c r="G28">
        <f>D28/D31</f>
        <v>1</v>
      </c>
      <c r="J28" s="20" t="s">
        <v>90</v>
      </c>
      <c r="K28" s="20">
        <f>(D31*D25*D24)/D23</f>
        <v>3.0225486243144684E-2</v>
      </c>
      <c r="N28" t="s">
        <v>3</v>
      </c>
      <c r="O28">
        <v>2138.6</v>
      </c>
      <c r="P28">
        <f>(O28*1000)/(24*60*60)</f>
        <v>24.752314814814813</v>
      </c>
      <c r="Q28">
        <v>12.1</v>
      </c>
      <c r="R28">
        <f>36*10^-6</f>
        <v>3.6000000000000001E-5</v>
      </c>
      <c r="S28">
        <f>P28/P31</f>
        <v>1</v>
      </c>
      <c r="U28" s="20" t="s">
        <v>90</v>
      </c>
      <c r="V28" s="20">
        <f>(P31*P25*P24)/P23</f>
        <v>6.0794608548407736E-2</v>
      </c>
    </row>
    <row r="30" spans="2:22">
      <c r="J30" s="21" t="s">
        <v>91</v>
      </c>
      <c r="K30" s="21"/>
      <c r="U30" s="21" t="s">
        <v>115</v>
      </c>
      <c r="V30" s="21"/>
    </row>
    <row r="31" spans="2:22">
      <c r="C31" s="20" t="s">
        <v>92</v>
      </c>
      <c r="D31" s="20">
        <f>SUM(D28:D29)</f>
        <v>16.063657407407408</v>
      </c>
      <c r="E31" s="20">
        <f>(E28*G28)+(E29*G29)</f>
        <v>10.119999999999999</v>
      </c>
      <c r="F31" s="20">
        <f>(G28*F28)+(G29*F29)</f>
        <v>1.8600000000000001E-5</v>
      </c>
      <c r="G31" s="20">
        <f>SUM(G28:G29)</f>
        <v>1</v>
      </c>
      <c r="J31" s="21" t="s">
        <v>93</v>
      </c>
      <c r="K31" s="21"/>
      <c r="O31" s="20" t="s">
        <v>92</v>
      </c>
      <c r="P31" s="20">
        <f>SUM(P28:P29)</f>
        <v>24.752314814814813</v>
      </c>
      <c r="Q31" s="20">
        <f>(Q28*S28)+(Q29*S29)</f>
        <v>12.1</v>
      </c>
      <c r="R31" s="20">
        <f>(S28*R28)+(S29*R29)</f>
        <v>3.6000000000000001E-5</v>
      </c>
      <c r="S31" s="20">
        <f>SUM(S28:S29)</f>
        <v>1</v>
      </c>
      <c r="U31" s="21" t="s">
        <v>116</v>
      </c>
      <c r="V31" s="21"/>
    </row>
    <row r="32" spans="2:22">
      <c r="J32" s="21" t="s">
        <v>94</v>
      </c>
      <c r="K32" s="21">
        <f>52.5</f>
        <v>52.5</v>
      </c>
      <c r="U32" s="21" t="s">
        <v>94</v>
      </c>
      <c r="V32" s="21">
        <f>P37</f>
        <v>78</v>
      </c>
    </row>
    <row r="33" spans="2:22">
      <c r="J33" s="21" t="s">
        <v>95</v>
      </c>
      <c r="K33" s="21">
        <f>D34</f>
        <v>13.962552142810146</v>
      </c>
      <c r="U33" s="21" t="s">
        <v>95</v>
      </c>
      <c r="V33" s="21">
        <f>P34</f>
        <v>12.72289607339367</v>
      </c>
    </row>
    <row r="34" spans="2:22">
      <c r="B34" t="s">
        <v>95</v>
      </c>
      <c r="C34">
        <v>10</v>
      </c>
      <c r="D34">
        <f>K28/D35</f>
        <v>13.962552142810146</v>
      </c>
      <c r="F34" s="20" t="s">
        <v>96</v>
      </c>
      <c r="G34" s="20">
        <f>(E31*D34*D36)/F31</f>
        <v>398833.54588575423</v>
      </c>
      <c r="J34" s="21" t="s">
        <v>97</v>
      </c>
      <c r="K34" s="21">
        <f>(K35-K32)/2</f>
        <v>3.8999999999999986</v>
      </c>
      <c r="N34" t="s">
        <v>95</v>
      </c>
      <c r="O34">
        <v>15</v>
      </c>
      <c r="P34">
        <f>V28/P35</f>
        <v>12.72289607339367</v>
      </c>
      <c r="R34" s="20" t="s">
        <v>96</v>
      </c>
      <c r="S34" s="20">
        <f>(Q31*P34*P36)/R31</f>
        <v>333551.92539080401</v>
      </c>
      <c r="U34" s="21" t="s">
        <v>97</v>
      </c>
      <c r="V34" s="21">
        <f>(V35-V32)/2</f>
        <v>5.4500000000000028</v>
      </c>
    </row>
    <row r="35" spans="2:22">
      <c r="B35" t="s">
        <v>98</v>
      </c>
      <c r="C35">
        <f>K28/C34</f>
        <v>3.0225486243144685E-3</v>
      </c>
      <c r="D35">
        <f>PI()*D36*D36/4</f>
        <v>2.1647536878642167E-3</v>
      </c>
      <c r="F35" s="20" t="s">
        <v>99</v>
      </c>
      <c r="G35" s="20">
        <v>0.02</v>
      </c>
      <c r="J35" s="21" t="s">
        <v>100</v>
      </c>
      <c r="K35" s="21">
        <f>60.3</f>
        <v>60.3</v>
      </c>
      <c r="N35" t="s">
        <v>98</v>
      </c>
      <c r="O35">
        <f>V28/O34</f>
        <v>4.0529739032271828E-3</v>
      </c>
      <c r="P35">
        <f>PI()*P36*P36/4</f>
        <v>4.7783624261100756E-3</v>
      </c>
      <c r="R35" s="20" t="s">
        <v>99</v>
      </c>
      <c r="S35" s="20">
        <v>1.6500000000000001E-2</v>
      </c>
      <c r="U35" s="21" t="s">
        <v>100</v>
      </c>
      <c r="V35" s="21">
        <v>88.9</v>
      </c>
    </row>
    <row r="36" spans="2:22">
      <c r="B36" t="s">
        <v>101</v>
      </c>
      <c r="C36">
        <f>((4*C35)/PI())^0.5</f>
        <v>6.2035702900523716E-2</v>
      </c>
      <c r="D36">
        <f>D37/1000</f>
        <v>5.2499999999999998E-2</v>
      </c>
      <c r="F36" s="20" t="s">
        <v>102</v>
      </c>
      <c r="G36" s="20">
        <v>5</v>
      </c>
      <c r="J36" s="21" t="s">
        <v>103</v>
      </c>
      <c r="K36" s="21">
        <f>G35</f>
        <v>0.02</v>
      </c>
      <c r="N36" t="s">
        <v>101</v>
      </c>
      <c r="O36">
        <f>((4*O35)/PI())^0.5</f>
        <v>7.1835970428250462E-2</v>
      </c>
      <c r="P36">
        <f>P37/1000</f>
        <v>7.8E-2</v>
      </c>
      <c r="R36" s="20" t="s">
        <v>102</v>
      </c>
      <c r="S36" s="20">
        <v>0.7</v>
      </c>
      <c r="U36" s="21" t="s">
        <v>103</v>
      </c>
      <c r="V36" s="21">
        <f>S35</f>
        <v>1.6500000000000001E-2</v>
      </c>
    </row>
    <row r="37" spans="2:22">
      <c r="B37" s="20" t="s">
        <v>104</v>
      </c>
      <c r="C37" s="20">
        <f>C36*1000</f>
        <v>62.035702900523717</v>
      </c>
      <c r="D37">
        <v>52.5</v>
      </c>
      <c r="F37" s="20" t="s">
        <v>105</v>
      </c>
      <c r="G37" s="20">
        <f>G35*G36*E31*D34*D34/(2*D36)</f>
        <v>1878.9742541788621</v>
      </c>
      <c r="J37" s="21" t="s">
        <v>106</v>
      </c>
      <c r="K37" s="21">
        <f>G37/(1.01321*10^5)</f>
        <v>1.854476618054364E-2</v>
      </c>
      <c r="N37" s="20" t="s">
        <v>104</v>
      </c>
      <c r="O37" s="20">
        <f>O36*1000</f>
        <v>71.835970428250462</v>
      </c>
      <c r="P37">
        <v>78</v>
      </c>
      <c r="R37" s="20" t="s">
        <v>105</v>
      </c>
      <c r="S37" s="20">
        <f>S35*S36*Q31*P34*P34/(2*P36)</f>
        <v>145.01559723404824</v>
      </c>
      <c r="U37" s="21" t="s">
        <v>106</v>
      </c>
      <c r="V37" s="21">
        <f>S37/(1.01321*10^5)</f>
        <v>1.4312491707942898E-3</v>
      </c>
    </row>
    <row r="38" spans="2:22">
      <c r="B38" t="s">
        <v>107</v>
      </c>
      <c r="C38">
        <f>C37/25.4</f>
        <v>2.4423505078946346</v>
      </c>
      <c r="J38" s="21" t="s">
        <v>108</v>
      </c>
      <c r="K38" s="21"/>
      <c r="N38" t="s">
        <v>107</v>
      </c>
      <c r="O38">
        <f>O37/25.4</f>
        <v>2.828187812135845</v>
      </c>
      <c r="U38" s="21" t="s">
        <v>117</v>
      </c>
      <c r="V38" s="21"/>
    </row>
    <row r="39" spans="2:22">
      <c r="J39" s="21" t="s">
        <v>110</v>
      </c>
      <c r="K39" s="21">
        <v>5</v>
      </c>
      <c r="U39" s="21" t="s">
        <v>110</v>
      </c>
      <c r="V39" s="21">
        <v>5</v>
      </c>
    </row>
    <row r="41" spans="2:22">
      <c r="B41" s="22" t="s">
        <v>118</v>
      </c>
      <c r="N41" s="22" t="s">
        <v>119</v>
      </c>
    </row>
    <row r="42" spans="2:22">
      <c r="B42" s="19" t="s">
        <v>120</v>
      </c>
      <c r="N42" s="19" t="s">
        <v>121</v>
      </c>
    </row>
    <row r="43" spans="2:22">
      <c r="B43" t="s">
        <v>84</v>
      </c>
      <c r="C43">
        <v>25</v>
      </c>
      <c r="D43">
        <f>C43*1.013*10^5</f>
        <v>2532499.9999999995</v>
      </c>
      <c r="N43" t="s">
        <v>84</v>
      </c>
      <c r="O43">
        <v>25</v>
      </c>
      <c r="P43">
        <f>O43*1.013*10^5</f>
        <v>2532499.9999999995</v>
      </c>
    </row>
    <row r="44" spans="2:22">
      <c r="B44" t="s">
        <v>44</v>
      </c>
      <c r="C44">
        <v>850</v>
      </c>
      <c r="D44">
        <f>C44+273.15</f>
        <v>1123.1500000000001</v>
      </c>
      <c r="N44" t="s">
        <v>44</v>
      </c>
      <c r="O44">
        <v>400</v>
      </c>
      <c r="P44">
        <f>O44+273.15</f>
        <v>673.15</v>
      </c>
    </row>
    <row r="45" spans="2:22">
      <c r="B45" t="s">
        <v>47</v>
      </c>
      <c r="C45">
        <v>8.3140000000000001</v>
      </c>
      <c r="D45">
        <v>8.3140000000000001</v>
      </c>
      <c r="N45" t="s">
        <v>47</v>
      </c>
      <c r="O45">
        <v>8.3140000000000001</v>
      </c>
      <c r="P45">
        <v>8.3140000000000001</v>
      </c>
    </row>
    <row r="47" spans="2:22">
      <c r="C47" t="s">
        <v>85</v>
      </c>
      <c r="D47" t="s">
        <v>86</v>
      </c>
      <c r="E47" t="s">
        <v>87</v>
      </c>
      <c r="F47" t="s">
        <v>88</v>
      </c>
      <c r="G47" t="s">
        <v>89</v>
      </c>
      <c r="O47" t="s">
        <v>85</v>
      </c>
      <c r="P47" t="s">
        <v>86</v>
      </c>
      <c r="Q47" t="s">
        <v>87</v>
      </c>
      <c r="R47" t="s">
        <v>88</v>
      </c>
      <c r="S47" t="s">
        <v>89</v>
      </c>
    </row>
    <row r="48" spans="2:22">
      <c r="B48" t="s">
        <v>18</v>
      </c>
      <c r="C48">
        <v>1387.9</v>
      </c>
      <c r="D48">
        <f>(C48*1000)/(24*60*60)</f>
        <v>16.063657407407408</v>
      </c>
      <c r="E48">
        <f>5.15</f>
        <v>5.15</v>
      </c>
      <c r="F48">
        <f>32.8*10^-6</f>
        <v>3.2799999999999998E-5</v>
      </c>
      <c r="G48">
        <f>D48/D51</f>
        <v>1</v>
      </c>
      <c r="J48" s="20" t="s">
        <v>90</v>
      </c>
      <c r="K48" s="20">
        <f>(D51*D45*D44)/D43</f>
        <v>5.9230140232029924E-2</v>
      </c>
      <c r="N48" t="s">
        <v>122</v>
      </c>
      <c r="O48">
        <v>4163.6000000000004</v>
      </c>
      <c r="P48">
        <f>(O48*1000)/(24*60*60)</f>
        <v>48.189814814814817</v>
      </c>
      <c r="Q48">
        <v>8.14</v>
      </c>
      <c r="R48">
        <f>24.5*10^-6</f>
        <v>2.4499999999999999E-5</v>
      </c>
      <c r="S48">
        <f>P48/P51</f>
        <v>1</v>
      </c>
      <c r="U48" s="20" t="s">
        <v>90</v>
      </c>
      <c r="V48" s="20">
        <f>(P51*P45*P44)/P43</f>
        <v>0.10649462133358928</v>
      </c>
    </row>
    <row r="50" spans="2:22">
      <c r="J50" s="21" t="s">
        <v>91</v>
      </c>
      <c r="K50" s="21"/>
      <c r="U50" s="21" t="s">
        <v>91</v>
      </c>
      <c r="V50" s="21"/>
    </row>
    <row r="51" spans="2:22">
      <c r="C51" s="20" t="s">
        <v>92</v>
      </c>
      <c r="D51" s="20">
        <f>SUM(D48:D49)</f>
        <v>16.063657407407408</v>
      </c>
      <c r="E51" s="20">
        <f>(E48*G48)</f>
        <v>5.15</v>
      </c>
      <c r="F51" s="20">
        <f>(G48*F48)+(G49*F49)</f>
        <v>3.2799999999999998E-5</v>
      </c>
      <c r="G51" s="20">
        <f>SUM(G48:G49)</f>
        <v>1</v>
      </c>
      <c r="J51" s="21" t="s">
        <v>123</v>
      </c>
      <c r="K51" s="21"/>
      <c r="O51" s="20" t="s">
        <v>92</v>
      </c>
      <c r="P51" s="20">
        <f>SUM(P48:P49)</f>
        <v>48.189814814814817</v>
      </c>
      <c r="Q51" s="20">
        <f>(Q48*S48)</f>
        <v>8.14</v>
      </c>
      <c r="R51" s="20">
        <f>(S48*R48)+(S49*R49)</f>
        <v>2.4499999999999999E-5</v>
      </c>
      <c r="S51" s="20">
        <f>SUM(S48:S49)</f>
        <v>1</v>
      </c>
      <c r="U51" s="21" t="s">
        <v>124</v>
      </c>
      <c r="V51" s="21"/>
    </row>
    <row r="52" spans="2:22">
      <c r="J52" s="21" t="s">
        <v>94</v>
      </c>
      <c r="K52" s="21">
        <f>D57</f>
        <v>49.2</v>
      </c>
      <c r="U52" s="21" t="s">
        <v>94</v>
      </c>
      <c r="V52" s="21">
        <f>P57</f>
        <v>77.900000000000006</v>
      </c>
    </row>
    <row r="53" spans="2:22">
      <c r="J53" s="21" t="s">
        <v>95</v>
      </c>
      <c r="K53" s="21">
        <f>D54</f>
        <v>31.154635461543073</v>
      </c>
      <c r="U53" s="21" t="s">
        <v>95</v>
      </c>
      <c r="V53" s="21">
        <f>P54</f>
        <v>22.34410054421549</v>
      </c>
    </row>
    <row r="54" spans="2:22">
      <c r="B54" t="s">
        <v>95</v>
      </c>
      <c r="C54">
        <v>25</v>
      </c>
      <c r="D54">
        <f>K48/D55</f>
        <v>31.154635461543073</v>
      </c>
      <c r="F54" s="20" t="s">
        <v>96</v>
      </c>
      <c r="G54" s="20">
        <f>(E51*D54*D56)/F51</f>
        <v>240669.55894042028</v>
      </c>
      <c r="J54" s="21" t="s">
        <v>97</v>
      </c>
      <c r="K54" s="21">
        <f>(K55-K52)/2</f>
        <v>5.5499999999999972</v>
      </c>
      <c r="N54" t="s">
        <v>95</v>
      </c>
      <c r="O54">
        <v>25</v>
      </c>
      <c r="P54">
        <f>V48/P55</f>
        <v>22.34410054421549</v>
      </c>
      <c r="R54" s="20" t="s">
        <v>96</v>
      </c>
      <c r="S54" s="20">
        <f>(Q51*P54*P56)/R51</f>
        <v>578307.27427307388</v>
      </c>
      <c r="U54" s="21" t="s">
        <v>97</v>
      </c>
      <c r="V54" s="21">
        <f>(V55-V52)/2</f>
        <v>5.5</v>
      </c>
    </row>
    <row r="55" spans="2:22">
      <c r="B55" t="s">
        <v>98</v>
      </c>
      <c r="C55">
        <f>K48/C54</f>
        <v>2.3692056092811968E-3</v>
      </c>
      <c r="D55">
        <f>PI()*D56*D56/4</f>
        <v>1.9011662102463992E-3</v>
      </c>
      <c r="F55" s="20" t="s">
        <v>99</v>
      </c>
      <c r="G55" s="20">
        <v>0.02</v>
      </c>
      <c r="J55" s="21" t="s">
        <v>100</v>
      </c>
      <c r="K55" s="21">
        <f>60.3</f>
        <v>60.3</v>
      </c>
      <c r="N55" t="s">
        <v>98</v>
      </c>
      <c r="O55">
        <f>V48/O54</f>
        <v>4.2597848533435711E-3</v>
      </c>
      <c r="P55">
        <f>PI()*P56*P56/4</f>
        <v>4.7661180687427109E-3</v>
      </c>
      <c r="R55" s="20" t="s">
        <v>99</v>
      </c>
      <c r="S55" s="20">
        <v>1.7000000000000001E-2</v>
      </c>
      <c r="U55" s="21" t="s">
        <v>100</v>
      </c>
      <c r="V55" s="21">
        <v>88.9</v>
      </c>
    </row>
    <row r="56" spans="2:22">
      <c r="B56" t="s">
        <v>101</v>
      </c>
      <c r="C56">
        <f>((4*C55)/PI())^0.5</f>
        <v>5.4923276225523773E-2</v>
      </c>
      <c r="D56">
        <f>D57/1000</f>
        <v>4.9200000000000001E-2</v>
      </c>
      <c r="F56" s="20" t="s">
        <v>102</v>
      </c>
      <c r="G56" s="20">
        <v>10</v>
      </c>
      <c r="J56" s="21" t="s">
        <v>125</v>
      </c>
      <c r="K56" s="21">
        <f>G55</f>
        <v>0.02</v>
      </c>
      <c r="N56" t="s">
        <v>101</v>
      </c>
      <c r="O56">
        <f>((4*O55)/PI())^0.5</f>
        <v>7.3645953910183762E-2</v>
      </c>
      <c r="P56">
        <f>P57/1000</f>
        <v>7.7900000000000011E-2</v>
      </c>
      <c r="R56" s="20" t="s">
        <v>102</v>
      </c>
      <c r="S56" s="20">
        <v>10</v>
      </c>
      <c r="U56" s="21" t="s">
        <v>126</v>
      </c>
      <c r="V56" s="21">
        <f>S55</f>
        <v>1.7000000000000001E-2</v>
      </c>
    </row>
    <row r="57" spans="2:22">
      <c r="B57" s="20" t="s">
        <v>104</v>
      </c>
      <c r="C57" s="20">
        <f>C56*1000</f>
        <v>54.923276225523772</v>
      </c>
      <c r="D57">
        <v>49.2</v>
      </c>
      <c r="F57" s="20" t="s">
        <v>105</v>
      </c>
      <c r="G57" s="20">
        <f>G55*G56*E51*D54*D54/(2*D56)</f>
        <v>10159.854167315916</v>
      </c>
      <c r="J57" s="21" t="s">
        <v>106</v>
      </c>
      <c r="K57" s="21">
        <f>G57/(1.01321*10^5)</f>
        <v>0.10027392314836921</v>
      </c>
      <c r="N57" s="20" t="s">
        <v>104</v>
      </c>
      <c r="O57" s="20">
        <f>O56*1000</f>
        <v>73.645953910183763</v>
      </c>
      <c r="P57">
        <v>77.900000000000006</v>
      </c>
      <c r="R57" s="20" t="s">
        <v>105</v>
      </c>
      <c r="S57" s="20">
        <f>S55*S56*Q51*P54*P54/(2*P56)</f>
        <v>4434.3669303601355</v>
      </c>
      <c r="U57" s="21" t="s">
        <v>106</v>
      </c>
      <c r="V57" s="21">
        <f>S57/(1.01321*10^5)</f>
        <v>4.3765526695947882E-2</v>
      </c>
    </row>
    <row r="58" spans="2:22">
      <c r="B58" t="s">
        <v>107</v>
      </c>
      <c r="C58">
        <f>C57/25.4</f>
        <v>2.1623337096662905</v>
      </c>
      <c r="J58" s="21" t="s">
        <v>127</v>
      </c>
      <c r="K58" s="21"/>
      <c r="N58" t="s">
        <v>107</v>
      </c>
      <c r="O58">
        <f>O57/25.4</f>
        <v>2.8994470043379437</v>
      </c>
      <c r="U58" s="21" t="s">
        <v>127</v>
      </c>
      <c r="V58" s="21"/>
    </row>
    <row r="59" spans="2:22">
      <c r="J59" s="21" t="s">
        <v>110</v>
      </c>
      <c r="K59" s="21">
        <v>10</v>
      </c>
      <c r="U59" s="21" t="s">
        <v>110</v>
      </c>
      <c r="V59" s="21">
        <v>10</v>
      </c>
    </row>
    <row r="63" spans="2:22">
      <c r="B63" s="22" t="s">
        <v>128</v>
      </c>
      <c r="N63" s="22" t="s">
        <v>129</v>
      </c>
    </row>
    <row r="64" spans="2:22">
      <c r="B64" s="19" t="s">
        <v>130</v>
      </c>
      <c r="N64" s="19" t="s">
        <v>131</v>
      </c>
    </row>
    <row r="65" spans="2:22">
      <c r="B65" t="s">
        <v>84</v>
      </c>
      <c r="C65">
        <v>25</v>
      </c>
      <c r="D65">
        <f>C65*1.013*10^5</f>
        <v>2532499.9999999995</v>
      </c>
      <c r="N65" t="s">
        <v>84</v>
      </c>
      <c r="O65">
        <v>25</v>
      </c>
      <c r="P65">
        <f>O65*1.013*10^5</f>
        <v>2532499.9999999995</v>
      </c>
    </row>
    <row r="66" spans="2:22">
      <c r="B66" t="s">
        <v>44</v>
      </c>
      <c r="C66">
        <v>850</v>
      </c>
      <c r="D66">
        <f>C66+273.15</f>
        <v>1123.1500000000001</v>
      </c>
      <c r="N66" t="s">
        <v>44</v>
      </c>
      <c r="O66">
        <v>1000</v>
      </c>
      <c r="P66">
        <f>O66+273.15</f>
        <v>1273.1500000000001</v>
      </c>
    </row>
    <row r="67" spans="2:22">
      <c r="B67" t="s">
        <v>47</v>
      </c>
      <c r="C67">
        <v>8.3140000000000001</v>
      </c>
      <c r="D67">
        <v>8.3140000000000001</v>
      </c>
      <c r="N67" t="s">
        <v>47</v>
      </c>
      <c r="O67">
        <v>8.3140000000000001</v>
      </c>
      <c r="P67">
        <v>8.3140000000000001</v>
      </c>
    </row>
    <row r="69" spans="2:22">
      <c r="C69" t="s">
        <v>85</v>
      </c>
      <c r="D69" t="s">
        <v>86</v>
      </c>
      <c r="E69" t="s">
        <v>87</v>
      </c>
      <c r="F69" t="s">
        <v>88</v>
      </c>
      <c r="G69" t="s">
        <v>89</v>
      </c>
      <c r="O69" t="s">
        <v>85</v>
      </c>
      <c r="P69" t="s">
        <v>86</v>
      </c>
      <c r="Q69" t="s">
        <v>87</v>
      </c>
      <c r="R69" t="s">
        <v>88</v>
      </c>
      <c r="S69" t="s">
        <v>89</v>
      </c>
    </row>
    <row r="70" spans="2:22">
      <c r="B70" t="s">
        <v>18</v>
      </c>
      <c r="C70">
        <v>416.4</v>
      </c>
      <c r="D70">
        <f>(C70*1000)/(24*60*60)</f>
        <v>4.8194444444444446</v>
      </c>
      <c r="E70">
        <v>4.3</v>
      </c>
      <c r="F70">
        <f>27.5*10^-6</f>
        <v>2.7499999999999998E-5</v>
      </c>
      <c r="G70">
        <f>D70/$D$75</f>
        <v>5.55607445460004E-2</v>
      </c>
      <c r="J70" s="20" t="s">
        <v>90</v>
      </c>
      <c r="K70" s="20">
        <f>(D75*D67*D66)/D65</f>
        <v>0.3198359290791471</v>
      </c>
      <c r="N70" t="s">
        <v>3</v>
      </c>
      <c r="O70">
        <v>2138.6</v>
      </c>
      <c r="P70">
        <f>(O70*1000)/(24*60*60)</f>
        <v>24.752314814814813</v>
      </c>
      <c r="Q70">
        <v>7.13</v>
      </c>
      <c r="R70">
        <f>49.2*10^-6</f>
        <v>4.9200000000000003E-5</v>
      </c>
      <c r="S70">
        <f>P70/P75</f>
        <v>1</v>
      </c>
      <c r="U70" s="20" t="s">
        <v>90</v>
      </c>
      <c r="V70" s="20">
        <f>(P75*P67*P66)/P65</f>
        <v>0.10345606612765532</v>
      </c>
    </row>
    <row r="71" spans="2:22">
      <c r="B71" t="s">
        <v>19</v>
      </c>
      <c r="C71">
        <v>3192.1</v>
      </c>
      <c r="D71">
        <f t="shared" ref="D71:D73" si="0">(C71*1000)/(24*60*60)</f>
        <v>36.945601851851855</v>
      </c>
      <c r="E71">
        <v>4.8</v>
      </c>
      <c r="F71">
        <f>41*10^-6</f>
        <v>4.1E-5</v>
      </c>
      <c r="G71">
        <f t="shared" ref="G71:G73" si="1">D71/$D$75</f>
        <v>0.42592567883114285</v>
      </c>
      <c r="J71" s="20"/>
      <c r="K71" s="20"/>
      <c r="U71" s="20"/>
      <c r="V71" s="20"/>
    </row>
    <row r="72" spans="2:22">
      <c r="B72" t="s">
        <v>24</v>
      </c>
      <c r="C72">
        <v>971.5</v>
      </c>
      <c r="D72">
        <f t="shared" si="0"/>
        <v>11.244212962962964</v>
      </c>
      <c r="E72">
        <v>7.5</v>
      </c>
      <c r="F72">
        <f>37.5*10^-6</f>
        <v>3.7499999999999997E-5</v>
      </c>
      <c r="G72">
        <f t="shared" si="1"/>
        <v>0.1296283941557142</v>
      </c>
      <c r="J72" s="20"/>
      <c r="K72" s="20"/>
      <c r="U72" s="20"/>
      <c r="V72" s="20"/>
    </row>
    <row r="73" spans="2:22">
      <c r="B73" t="s">
        <v>132</v>
      </c>
      <c r="C73">
        <v>2914.5</v>
      </c>
      <c r="D73">
        <f t="shared" si="0"/>
        <v>33.732638888888886</v>
      </c>
      <c r="E73">
        <v>0.54</v>
      </c>
      <c r="F73">
        <f>20*10^-6</f>
        <v>1.9999999999999998E-5</v>
      </c>
      <c r="G73">
        <f t="shared" si="1"/>
        <v>0.38888518246714254</v>
      </c>
    </row>
    <row r="74" spans="2:22">
      <c r="J74" s="21" t="s">
        <v>133</v>
      </c>
      <c r="K74" s="21"/>
      <c r="U74" s="21" t="s">
        <v>134</v>
      </c>
      <c r="V74" s="21"/>
    </row>
    <row r="75" spans="2:22">
      <c r="C75" s="20" t="s">
        <v>92</v>
      </c>
      <c r="D75" s="20">
        <f>SUM(D70:D73)</f>
        <v>86.741898148148152</v>
      </c>
      <c r="E75" s="20">
        <f>(E70*G70)+(E73*G73)+(E71*G71)+(E72*G72)</f>
        <v>3.4655654146374006</v>
      </c>
      <c r="F75" s="20">
        <f>(G70*F70)+(G73*F73)+(F71*G71)+(F72*G72)</f>
        <v>3.1629641737274003E-5</v>
      </c>
      <c r="G75" s="20">
        <f>SUM(G70:G73)</f>
        <v>1</v>
      </c>
      <c r="J75" s="21" t="s">
        <v>135</v>
      </c>
      <c r="K75" s="21"/>
      <c r="O75" s="20" t="s">
        <v>92</v>
      </c>
      <c r="P75" s="20">
        <f>SUM(P70:P73)</f>
        <v>24.752314814814813</v>
      </c>
      <c r="Q75" s="20">
        <f>(Q70*S70)+(Q73*S73)+(Q71*S71)+(Q72*S72)</f>
        <v>7.13</v>
      </c>
      <c r="R75" s="20">
        <f>(S70*R70)+(S73*R73)+(R71*S71)+(R72*S72)</f>
        <v>4.9200000000000003E-5</v>
      </c>
      <c r="S75" s="20">
        <f>SUM(S70:S73)</f>
        <v>1</v>
      </c>
      <c r="U75" s="21" t="s">
        <v>136</v>
      </c>
      <c r="V75" s="21"/>
    </row>
    <row r="76" spans="2:22">
      <c r="J76" s="21" t="s">
        <v>94</v>
      </c>
      <c r="K76" s="21">
        <f>D81</f>
        <v>240</v>
      </c>
      <c r="U76" s="21" t="s">
        <v>94</v>
      </c>
      <c r="V76" s="21">
        <f>P81</f>
        <v>102</v>
      </c>
    </row>
    <row r="77" spans="2:22">
      <c r="J77" s="21" t="s">
        <v>95</v>
      </c>
      <c r="K77" s="21">
        <f>D78</f>
        <v>7.0699262626854349</v>
      </c>
      <c r="U77" s="21" t="s">
        <v>95</v>
      </c>
      <c r="V77" s="21">
        <f>P78</f>
        <v>12.660933730917604</v>
      </c>
    </row>
    <row r="78" spans="2:22">
      <c r="B78" t="s">
        <v>95</v>
      </c>
      <c r="C78">
        <v>8</v>
      </c>
      <c r="D78">
        <f>K70/D79</f>
        <v>7.0699262626854349</v>
      </c>
      <c r="F78" s="20" t="s">
        <v>96</v>
      </c>
      <c r="G78" s="20">
        <f>(E75*D78*D80)/F75</f>
        <v>185911.37118920224</v>
      </c>
      <c r="J78" s="21" t="s">
        <v>97</v>
      </c>
      <c r="K78" s="21">
        <f>(K79-K76)/2</f>
        <v>16.550000000000011</v>
      </c>
      <c r="N78" t="s">
        <v>95</v>
      </c>
      <c r="O78">
        <v>10</v>
      </c>
      <c r="P78">
        <f>V70/P79</f>
        <v>12.660933730917604</v>
      </c>
      <c r="R78" s="20" t="s">
        <v>96</v>
      </c>
      <c r="S78" s="20">
        <f>(Q75*P78*P80)/R75</f>
        <v>187150.21677128325</v>
      </c>
      <c r="U78" s="21" t="s">
        <v>97</v>
      </c>
      <c r="V78" s="21">
        <f>(V79-V76)/2</f>
        <v>6.1499999999999986</v>
      </c>
    </row>
    <row r="79" spans="2:22">
      <c r="B79" t="s">
        <v>98</v>
      </c>
      <c r="C79">
        <f>K70/C78</f>
        <v>3.9979491134893387E-2</v>
      </c>
      <c r="D79">
        <f>PI()*D80*D80/4</f>
        <v>4.5238934211693019E-2</v>
      </c>
      <c r="F79" s="20" t="s">
        <v>99</v>
      </c>
      <c r="G79" s="20">
        <v>1.7999999999999999E-2</v>
      </c>
      <c r="J79" s="21" t="s">
        <v>100</v>
      </c>
      <c r="K79" s="21">
        <v>273.10000000000002</v>
      </c>
      <c r="N79" t="s">
        <v>98</v>
      </c>
      <c r="O79">
        <f>V70/O78</f>
        <v>1.0345606612765531E-2</v>
      </c>
      <c r="P79">
        <f>PI()*P80*P80/4</f>
        <v>8.171282491987052E-3</v>
      </c>
      <c r="R79" s="20" t="s">
        <v>99</v>
      </c>
      <c r="S79" s="20">
        <v>1.7999999999999999E-2</v>
      </c>
      <c r="U79" s="21" t="s">
        <v>100</v>
      </c>
      <c r="V79" s="21">
        <v>114.3</v>
      </c>
    </row>
    <row r="80" spans="2:22">
      <c r="B80" t="s">
        <v>101</v>
      </c>
      <c r="C80">
        <f>((4*C79)/PI())^0.5</f>
        <v>0.22561797156107741</v>
      </c>
      <c r="D80">
        <f>D81/1000</f>
        <v>0.24</v>
      </c>
      <c r="F80" s="20" t="s">
        <v>102</v>
      </c>
      <c r="G80" s="20">
        <v>7</v>
      </c>
      <c r="J80" s="21" t="s">
        <v>103</v>
      </c>
      <c r="K80" s="21">
        <f>G79</f>
        <v>1.7999999999999999E-2</v>
      </c>
      <c r="N80" t="s">
        <v>101</v>
      </c>
      <c r="O80">
        <f>((4*O79)/PI())^0.5</f>
        <v>0.11477123094942684</v>
      </c>
      <c r="P80">
        <f>P81/1000</f>
        <v>0.10199999999999999</v>
      </c>
      <c r="R80" s="20" t="s">
        <v>102</v>
      </c>
      <c r="S80" s="20">
        <v>7</v>
      </c>
      <c r="U80" s="21" t="s">
        <v>103</v>
      </c>
      <c r="V80" s="21">
        <f>S79</f>
        <v>1.7999999999999999E-2</v>
      </c>
    </row>
    <row r="81" spans="2:23">
      <c r="B81" s="20" t="s">
        <v>104</v>
      </c>
      <c r="C81" s="20">
        <f>C80*1000</f>
        <v>225.61797156107741</v>
      </c>
      <c r="D81">
        <v>240</v>
      </c>
      <c r="F81" s="20" t="s">
        <v>105</v>
      </c>
      <c r="G81" s="20">
        <f>G79*G80*E75*D78*D78/(2*D80)</f>
        <v>45.470860931035055</v>
      </c>
      <c r="J81" s="21" t="s">
        <v>106</v>
      </c>
      <c r="K81" s="21">
        <f>G81/(1.01321*10^5)</f>
        <v>4.4878022257019824E-4</v>
      </c>
      <c r="N81" s="20" t="s">
        <v>104</v>
      </c>
      <c r="O81" s="20">
        <f>O80*1000</f>
        <v>114.77123094942685</v>
      </c>
      <c r="P81">
        <v>102</v>
      </c>
      <c r="R81" s="20" t="s">
        <v>105</v>
      </c>
      <c r="S81" s="20">
        <f>S79*S80*Q75*P78*P78/(2*P80)</f>
        <v>705.92957780028314</v>
      </c>
      <c r="U81" s="21" t="s">
        <v>106</v>
      </c>
      <c r="V81" s="21">
        <f>S81/(1.01321*10^5)</f>
        <v>6.9672582959138096E-3</v>
      </c>
    </row>
    <row r="82" spans="2:23">
      <c r="B82" t="s">
        <v>107</v>
      </c>
      <c r="C82">
        <f>C81/25.4</f>
        <v>8.8825973055542295</v>
      </c>
      <c r="J82" s="21" t="s">
        <v>137</v>
      </c>
      <c r="K82" s="21"/>
      <c r="N82" t="s">
        <v>107</v>
      </c>
      <c r="O82">
        <f>O81/25.4</f>
        <v>4.5185523995837347</v>
      </c>
      <c r="U82" s="21" t="s">
        <v>127</v>
      </c>
      <c r="V82" s="21"/>
    </row>
    <row r="83" spans="2:23">
      <c r="J83" s="21" t="s">
        <v>110</v>
      </c>
      <c r="K83" s="21">
        <v>7</v>
      </c>
      <c r="U83" s="21" t="s">
        <v>110</v>
      </c>
      <c r="V83" s="21">
        <v>7</v>
      </c>
    </row>
    <row r="86" spans="2:23">
      <c r="B86" s="23" t="s">
        <v>138</v>
      </c>
      <c r="N86" s="23" t="s">
        <v>139</v>
      </c>
    </row>
    <row r="87" spans="2:23">
      <c r="B87" s="24" t="s">
        <v>140</v>
      </c>
      <c r="N87" s="24" t="s">
        <v>141</v>
      </c>
    </row>
    <row r="88" spans="2:23">
      <c r="B88" t="s">
        <v>84</v>
      </c>
      <c r="C88">
        <v>25</v>
      </c>
      <c r="D88">
        <f>C88*1.013*10^5</f>
        <v>2532499.9999999995</v>
      </c>
      <c r="N88" t="s">
        <v>84</v>
      </c>
      <c r="O88">
        <v>25</v>
      </c>
      <c r="P88">
        <f>O88*1.0135*10^5</f>
        <v>2533750</v>
      </c>
    </row>
    <row r="89" spans="2:23">
      <c r="B89" t="s">
        <v>44</v>
      </c>
      <c r="C89">
        <v>1000</v>
      </c>
      <c r="D89">
        <f>C89+273.15</f>
        <v>1273.1500000000001</v>
      </c>
      <c r="N89" t="s">
        <v>44</v>
      </c>
      <c r="O89">
        <v>400</v>
      </c>
      <c r="P89">
        <f>O89+273.15</f>
        <v>673.15</v>
      </c>
    </row>
    <row r="90" spans="2:23">
      <c r="B90" t="s">
        <v>47</v>
      </c>
      <c r="C90">
        <v>8.3140000000000001</v>
      </c>
      <c r="D90">
        <f>C90</f>
        <v>8.3140000000000001</v>
      </c>
      <c r="N90" t="s">
        <v>47</v>
      </c>
      <c r="O90">
        <v>8.3140000000000001</v>
      </c>
      <c r="P90">
        <f>O90</f>
        <v>8.3140000000000001</v>
      </c>
    </row>
    <row r="92" spans="2:23">
      <c r="C92" t="s">
        <v>85</v>
      </c>
      <c r="D92" t="s">
        <v>86</v>
      </c>
      <c r="E92" t="s">
        <v>87</v>
      </c>
      <c r="F92" t="s">
        <v>88</v>
      </c>
      <c r="G92" t="s">
        <v>142</v>
      </c>
      <c r="O92" t="s">
        <v>85</v>
      </c>
      <c r="P92" t="s">
        <v>86</v>
      </c>
      <c r="Q92" t="s">
        <v>87</v>
      </c>
      <c r="R92" t="s">
        <v>88</v>
      </c>
      <c r="S92" t="s">
        <v>142</v>
      </c>
    </row>
    <row r="93" spans="2:23">
      <c r="B93" t="s">
        <v>20</v>
      </c>
      <c r="C93">
        <v>1668.1</v>
      </c>
      <c r="D93">
        <f t="shared" ref="D93:D99" si="2">(C93*1000)/(24*60*60)</f>
        <v>19.306712962962962</v>
      </c>
      <c r="E93">
        <f>6.6</f>
        <v>6.6</v>
      </c>
      <c r="F93">
        <f>4.77*10^-5</f>
        <v>4.7700000000000001E-5</v>
      </c>
      <c r="G93">
        <f>D93/$D$101</f>
        <v>0.16311862550482578</v>
      </c>
      <c r="H93">
        <f>E93*G93</f>
        <v>1.0765829283318502</v>
      </c>
      <c r="I93">
        <f>F93*G93</f>
        <v>7.7807584365801901E-6</v>
      </c>
      <c r="N93" t="s">
        <v>20</v>
      </c>
      <c r="O93">
        <v>1668.1</v>
      </c>
      <c r="P93">
        <f t="shared" ref="P93:P99" si="3">(O93*1000)/(24*60*60)</f>
        <v>19.306712962962962</v>
      </c>
      <c r="Q93" s="26">
        <v>12.51</v>
      </c>
      <c r="R93" s="26">
        <f>31.21*10^-6</f>
        <v>3.1210000000000001E-5</v>
      </c>
      <c r="S93">
        <f>P93/$P$101</f>
        <v>0.16311862550482578</v>
      </c>
      <c r="T93">
        <f>R93*S93</f>
        <v>5.0909323020056128E-6</v>
      </c>
    </row>
    <row r="94" spans="2:23">
      <c r="B94" t="s">
        <v>25</v>
      </c>
      <c r="C94">
        <v>251.3</v>
      </c>
      <c r="D94">
        <f t="shared" si="2"/>
        <v>2.9085648148148149</v>
      </c>
      <c r="E94">
        <v>7.6</v>
      </c>
      <c r="F94">
        <f>5.49*10^-5</f>
        <v>5.4900000000000006E-5</v>
      </c>
      <c r="G94">
        <f t="shared" ref="G94:G99" si="4">D94/$D$101</f>
        <v>2.4573892805804642E-2</v>
      </c>
      <c r="H94">
        <f t="shared" ref="H94:H99" si="5">E94*G94</f>
        <v>0.18676158532411527</v>
      </c>
      <c r="I94">
        <f t="shared" ref="I94:I99" si="6">F94*G94</f>
        <v>1.3491067150386749E-6</v>
      </c>
      <c r="N94" t="s">
        <v>25</v>
      </c>
      <c r="O94">
        <v>251.3</v>
      </c>
      <c r="P94">
        <f t="shared" si="3"/>
        <v>2.9085648148148149</v>
      </c>
      <c r="Q94" s="26">
        <v>14.29</v>
      </c>
      <c r="R94" s="26">
        <f>36.1*10^-6</f>
        <v>3.6099999999999997E-5</v>
      </c>
      <c r="S94">
        <f t="shared" ref="S94:S99" si="7">P94/$P$101</f>
        <v>2.4573892805804642E-2</v>
      </c>
      <c r="T94">
        <f t="shared" ref="T94:T99" si="8">R94*S94</f>
        <v>8.8711753028954752E-7</v>
      </c>
    </row>
    <row r="95" spans="2:23">
      <c r="B95" t="s">
        <v>143</v>
      </c>
      <c r="C95">
        <v>21.4</v>
      </c>
      <c r="D95">
        <f t="shared" si="2"/>
        <v>0.24768518518518517</v>
      </c>
      <c r="E95">
        <v>30</v>
      </c>
      <c r="F95">
        <f>6.2*10^-5</f>
        <v>6.2000000000000003E-5</v>
      </c>
      <c r="G95">
        <f t="shared" si="4"/>
        <v>2.0926434780908052E-3</v>
      </c>
      <c r="H95">
        <f t="shared" si="5"/>
        <v>6.2779304342724149E-2</v>
      </c>
      <c r="I95">
        <f t="shared" si="6"/>
        <v>1.2974389564162994E-7</v>
      </c>
      <c r="N95" t="s">
        <v>143</v>
      </c>
      <c r="O95">
        <v>21.4</v>
      </c>
      <c r="P95">
        <f t="shared" si="3"/>
        <v>0.24768518518518517</v>
      </c>
      <c r="Q95" s="26">
        <v>17.850000000000001</v>
      </c>
      <c r="R95" s="26">
        <f>39.48*10^-6</f>
        <v>3.9479999999999995E-5</v>
      </c>
      <c r="S95">
        <f t="shared" si="7"/>
        <v>2.0926434780908052E-3</v>
      </c>
      <c r="T95">
        <f t="shared" si="8"/>
        <v>8.2617564515024976E-8</v>
      </c>
    </row>
    <row r="96" spans="2:23">
      <c r="B96" t="s">
        <v>18</v>
      </c>
      <c r="C96">
        <v>20.8</v>
      </c>
      <c r="D96">
        <f t="shared" si="2"/>
        <v>0.24074074074074073</v>
      </c>
      <c r="E96">
        <v>3.8</v>
      </c>
      <c r="F96">
        <f>3.38*10^-5</f>
        <v>3.3800000000000002E-5</v>
      </c>
      <c r="G96">
        <f t="shared" si="4"/>
        <v>2.0339712310415304E-3</v>
      </c>
      <c r="H96">
        <f t="shared" si="5"/>
        <v>7.729090677957815E-3</v>
      </c>
      <c r="I96">
        <f t="shared" si="6"/>
        <v>6.8748227609203729E-8</v>
      </c>
      <c r="J96" s="25" t="s">
        <v>90</v>
      </c>
      <c r="K96" s="25">
        <f>(D101*D90*D89)/D88</f>
        <v>0.49470343637952008</v>
      </c>
      <c r="N96" t="s">
        <v>18</v>
      </c>
      <c r="O96">
        <v>20.8</v>
      </c>
      <c r="P96">
        <f t="shared" si="3"/>
        <v>0.24074074074074073</v>
      </c>
      <c r="Q96" s="26">
        <v>7.17</v>
      </c>
      <c r="R96" s="26">
        <f>19.37*10^-6</f>
        <v>1.9369999999999999E-5</v>
      </c>
      <c r="S96">
        <f t="shared" si="7"/>
        <v>2.0339712310415304E-3</v>
      </c>
      <c r="T96">
        <f t="shared" si="8"/>
        <v>3.9398022745274439E-8</v>
      </c>
      <c r="V96" s="31" t="s">
        <v>90</v>
      </c>
      <c r="W96" s="31">
        <f>(P101*P90*P89)/P88</f>
        <v>0.2614344981058031</v>
      </c>
    </row>
    <row r="97" spans="2:22">
      <c r="B97" t="s">
        <v>132</v>
      </c>
      <c r="C97">
        <v>3705.6</v>
      </c>
      <c r="D97">
        <f t="shared" si="2"/>
        <v>42.888888888888886</v>
      </c>
      <c r="E97">
        <v>0.5</v>
      </c>
      <c r="F97">
        <f>2.15*10^-5</f>
        <v>2.1500000000000001E-5</v>
      </c>
      <c r="G97">
        <f t="shared" si="4"/>
        <v>0.36235979777632182</v>
      </c>
      <c r="H97">
        <f t="shared" si="5"/>
        <v>0.18117989888816091</v>
      </c>
      <c r="I97">
        <f t="shared" si="6"/>
        <v>7.7907356521909195E-6</v>
      </c>
      <c r="N97" t="s">
        <v>132</v>
      </c>
      <c r="O97">
        <v>3705.6</v>
      </c>
      <c r="P97">
        <f t="shared" si="3"/>
        <v>42.888888888888886</v>
      </c>
      <c r="Q97" s="27">
        <v>0.9</v>
      </c>
      <c r="R97" s="26">
        <f>15.79*10^-6</f>
        <v>1.579E-5</v>
      </c>
      <c r="S97">
        <f t="shared" si="7"/>
        <v>0.36235979777632182</v>
      </c>
      <c r="T97">
        <f t="shared" si="8"/>
        <v>5.7216612068881215E-6</v>
      </c>
    </row>
    <row r="98" spans="2:22">
      <c r="B98" t="s">
        <v>24</v>
      </c>
      <c r="C98">
        <v>1367</v>
      </c>
      <c r="D98">
        <f t="shared" si="2"/>
        <v>15.82175925925926</v>
      </c>
      <c r="E98">
        <v>6.6</v>
      </c>
      <c r="F98">
        <f>4.75*10^-5</f>
        <v>4.7500000000000003E-5</v>
      </c>
      <c r="G98">
        <f t="shared" si="4"/>
        <v>0.13367493619393134</v>
      </c>
      <c r="H98">
        <f t="shared" si="5"/>
        <v>0.88225457887994674</v>
      </c>
      <c r="I98">
        <f t="shared" si="6"/>
        <v>6.3495594692117392E-6</v>
      </c>
      <c r="N98" t="s">
        <v>24</v>
      </c>
      <c r="O98">
        <v>1367</v>
      </c>
      <c r="P98">
        <f t="shared" si="3"/>
        <v>15.82175925925926</v>
      </c>
      <c r="Q98" s="26">
        <v>12.51</v>
      </c>
      <c r="R98" s="26">
        <f>31.21*10^-6</f>
        <v>3.1210000000000001E-5</v>
      </c>
      <c r="S98">
        <f t="shared" si="7"/>
        <v>0.13367493619393134</v>
      </c>
      <c r="T98">
        <f t="shared" si="8"/>
        <v>4.171994758612597E-6</v>
      </c>
    </row>
    <row r="99" spans="2:22">
      <c r="B99" t="s">
        <v>19</v>
      </c>
      <c r="C99">
        <v>3192.1</v>
      </c>
      <c r="D99">
        <f t="shared" si="2"/>
        <v>36.945601851851855</v>
      </c>
      <c r="E99">
        <v>4.3</v>
      </c>
      <c r="F99">
        <f>5.07*10^-5</f>
        <v>5.0700000000000006E-5</v>
      </c>
      <c r="G99">
        <f t="shared" si="4"/>
        <v>0.31214613300998412</v>
      </c>
      <c r="H99">
        <f t="shared" si="5"/>
        <v>1.3422283719429315</v>
      </c>
      <c r="I99">
        <f t="shared" si="6"/>
        <v>1.5825808943606198E-5</v>
      </c>
      <c r="N99" t="s">
        <v>19</v>
      </c>
      <c r="O99">
        <v>3192.1</v>
      </c>
      <c r="P99">
        <f t="shared" si="3"/>
        <v>36.945601851851855</v>
      </c>
      <c r="Q99" s="27">
        <v>8.0500000000000007</v>
      </c>
      <c r="R99" s="26">
        <f>22.56*10^-6</f>
        <v>2.2559999999999997E-5</v>
      </c>
      <c r="S99">
        <f t="shared" si="7"/>
        <v>0.31214613300998412</v>
      </c>
      <c r="T99">
        <f t="shared" si="8"/>
        <v>7.0420167607052408E-6</v>
      </c>
    </row>
    <row r="101" spans="2:22">
      <c r="C101" s="25" t="s">
        <v>92</v>
      </c>
      <c r="D101" s="25">
        <f>SUM(D93:D99)</f>
        <v>118.3599537037037</v>
      </c>
      <c r="E101" s="25">
        <f>SUM(H93:H99)</f>
        <v>3.7395157583876868</v>
      </c>
      <c r="F101" s="25">
        <f>SUM(I93:I99)</f>
        <v>3.9294461339878551E-5</v>
      </c>
      <c r="G101" s="25">
        <f>SUM(G93:G99)</f>
        <v>1</v>
      </c>
      <c r="O101" s="25" t="s">
        <v>92</v>
      </c>
      <c r="P101" s="25">
        <f>SUM(P93:P99)</f>
        <v>118.3599537037037</v>
      </c>
      <c r="Q101" s="25">
        <f>(Q93*S93)+(Q94*S94)+(Q95*S95)+(Q96*S96)+(Q97*S97)+(Q98*S98)+(Q99*S99)</f>
        <v>6.9548858335859505</v>
      </c>
      <c r="R101" s="25">
        <f>SUM(T93:T99)</f>
        <v>2.3035738145761422E-5</v>
      </c>
      <c r="S101" s="25">
        <f>SUM(S93:S99)</f>
        <v>1</v>
      </c>
    </row>
    <row r="102" spans="2:22">
      <c r="J102" s="21" t="s">
        <v>144</v>
      </c>
      <c r="K102" s="21"/>
      <c r="U102" s="30" t="s">
        <v>145</v>
      </c>
      <c r="V102" s="21"/>
    </row>
    <row r="103" spans="2:22">
      <c r="J103" s="21" t="s">
        <v>135</v>
      </c>
      <c r="K103" s="21"/>
      <c r="U103" s="21" t="s">
        <v>146</v>
      </c>
      <c r="V103" s="21"/>
    </row>
    <row r="104" spans="2:22">
      <c r="B104" t="s">
        <v>95</v>
      </c>
      <c r="C104">
        <v>10</v>
      </c>
      <c r="D104">
        <f>K96/D105</f>
        <v>10.078015649836491</v>
      </c>
      <c r="F104" t="s">
        <v>96</v>
      </c>
      <c r="G104">
        <f>E101*D104*D106/F101</f>
        <v>239772.33082461287</v>
      </c>
      <c r="J104" s="21" t="s">
        <v>94</v>
      </c>
      <c r="K104" s="21">
        <f>D107</f>
        <v>250</v>
      </c>
      <c r="N104" t="s">
        <v>95</v>
      </c>
      <c r="O104">
        <f>12</f>
        <v>12</v>
      </c>
      <c r="P104">
        <f>W96/P105</f>
        <v>10.505893869028487</v>
      </c>
      <c r="R104" t="s">
        <v>96</v>
      </c>
      <c r="S104">
        <f>Q101*P104*P106/R101</f>
        <v>564600.01289391459</v>
      </c>
      <c r="U104" s="21" t="s">
        <v>94</v>
      </c>
      <c r="V104" s="21">
        <f>P107</f>
        <v>178</v>
      </c>
    </row>
    <row r="105" spans="2:22">
      <c r="B105" t="s">
        <v>147</v>
      </c>
      <c r="C105">
        <f>K96/C104</f>
        <v>4.9470343637952011E-2</v>
      </c>
      <c r="D105">
        <f>PI()*D106*D106/4</f>
        <v>4.9087385212340517E-2</v>
      </c>
      <c r="F105" t="s">
        <v>99</v>
      </c>
      <c r="G105">
        <v>1.46E-2</v>
      </c>
      <c r="J105" s="21" t="s">
        <v>95</v>
      </c>
      <c r="K105" s="21">
        <f>D104</f>
        <v>10.078015649836491</v>
      </c>
      <c r="N105" t="s">
        <v>147</v>
      </c>
      <c r="O105">
        <f>W96/O104</f>
        <v>2.1786208175483591E-2</v>
      </c>
      <c r="P105">
        <f>PI()*P106*P106/4</f>
        <v>2.4884555409084748E-2</v>
      </c>
      <c r="R105" t="s">
        <v>99</v>
      </c>
      <c r="S105" s="28">
        <v>1.7000000000000001E-2</v>
      </c>
      <c r="U105" s="21" t="s">
        <v>95</v>
      </c>
      <c r="V105" s="21">
        <f>P104</f>
        <v>10.505893869028487</v>
      </c>
    </row>
    <row r="106" spans="2:22">
      <c r="B106" t="s">
        <v>101</v>
      </c>
      <c r="C106">
        <f>((4*C105)/PI())^0.5</f>
        <v>0.250973300993309</v>
      </c>
      <c r="D106">
        <f>D107/1000</f>
        <v>0.25</v>
      </c>
      <c r="F106" t="s">
        <v>102</v>
      </c>
      <c r="G106">
        <v>6</v>
      </c>
      <c r="J106" s="21" t="s">
        <v>97</v>
      </c>
      <c r="K106" s="21">
        <f>(K107-K104)/2</f>
        <v>11.525000000000006</v>
      </c>
      <c r="N106" t="s">
        <v>101</v>
      </c>
      <c r="O106">
        <f>((4*O105)/PI())^0.5</f>
        <v>0.16655047817060811</v>
      </c>
      <c r="P106">
        <f>P107/1000</f>
        <v>0.17799999999999999</v>
      </c>
      <c r="R106" t="s">
        <v>102</v>
      </c>
      <c r="S106">
        <v>8</v>
      </c>
      <c r="U106" s="21" t="s">
        <v>97</v>
      </c>
      <c r="V106" s="21">
        <f>(V107-V104)/2</f>
        <v>7.8400000000000034</v>
      </c>
    </row>
    <row r="107" spans="2:22">
      <c r="B107" t="s">
        <v>104</v>
      </c>
      <c r="C107">
        <f>C106*1000</f>
        <v>250.97330099330901</v>
      </c>
      <c r="D107">
        <v>250</v>
      </c>
      <c r="F107" t="s">
        <v>105</v>
      </c>
      <c r="G107">
        <f>G105*G106*E101*D104*D104/(2*D106)</f>
        <v>66.542563294165404</v>
      </c>
      <c r="J107" s="21" t="s">
        <v>100</v>
      </c>
      <c r="K107" s="21">
        <v>273.05</v>
      </c>
      <c r="N107" t="s">
        <v>104</v>
      </c>
      <c r="O107">
        <f>O106*1000</f>
        <v>166.5504781706081</v>
      </c>
      <c r="P107">
        <v>178</v>
      </c>
      <c r="R107" t="s">
        <v>105</v>
      </c>
      <c r="S107">
        <f>(S105*S106*Q101*P104*P104)/(2*P106)</f>
        <v>293.25466818470761</v>
      </c>
      <c r="U107" s="21" t="s">
        <v>100</v>
      </c>
      <c r="V107" s="21">
        <f>193.68</f>
        <v>193.68</v>
      </c>
    </row>
    <row r="108" spans="2:22">
      <c r="B108" t="s">
        <v>107</v>
      </c>
      <c r="C108">
        <f>C107/25.4</f>
        <v>9.8808386217838198</v>
      </c>
      <c r="J108" s="21" t="s">
        <v>103</v>
      </c>
      <c r="K108" s="21">
        <f>G105</f>
        <v>1.46E-2</v>
      </c>
      <c r="N108" t="s">
        <v>107</v>
      </c>
      <c r="O108">
        <f>O107/25.4</f>
        <v>6.5571054397877209</v>
      </c>
      <c r="U108" s="21" t="s">
        <v>103</v>
      </c>
      <c r="V108" s="21">
        <f>S105</f>
        <v>1.7000000000000001E-2</v>
      </c>
    </row>
    <row r="109" spans="2:22">
      <c r="J109" s="21" t="s">
        <v>106</v>
      </c>
      <c r="K109" s="21">
        <f>G107/(1.01321*10^5)</f>
        <v>6.5674996589221786E-4</v>
      </c>
      <c r="U109" s="21" t="s">
        <v>106</v>
      </c>
      <c r="V109" s="21">
        <f>S107/(1.01321*10^5)</f>
        <v>2.8943128096318394E-3</v>
      </c>
    </row>
    <row r="110" spans="2:22">
      <c r="J110" s="21"/>
      <c r="K110" s="21"/>
      <c r="U110" s="21"/>
      <c r="V110" s="21"/>
    </row>
    <row r="111" spans="2:22">
      <c r="J111" s="21" t="s">
        <v>110</v>
      </c>
      <c r="K111" s="21">
        <f>G106</f>
        <v>6</v>
      </c>
      <c r="U111" s="21" t="s">
        <v>110</v>
      </c>
      <c r="V111" s="21">
        <f>S106</f>
        <v>8</v>
      </c>
    </row>
    <row r="114" spans="2:21">
      <c r="B114" s="23" t="s">
        <v>148</v>
      </c>
      <c r="N114" s="23" t="s">
        <v>149</v>
      </c>
    </row>
    <row r="115" spans="2:21">
      <c r="B115" s="32" t="s">
        <v>60</v>
      </c>
      <c r="N115" s="32" t="s">
        <v>5</v>
      </c>
    </row>
    <row r="116" spans="2:21">
      <c r="B116" t="s">
        <v>84</v>
      </c>
      <c r="C116">
        <v>25</v>
      </c>
      <c r="D116">
        <f>C116*1.013*10^5</f>
        <v>2532499.9999999995</v>
      </c>
      <c r="N116" t="s">
        <v>84</v>
      </c>
      <c r="O116">
        <v>25</v>
      </c>
      <c r="P116">
        <f>O116*1.013*10^5</f>
        <v>2532499.9999999995</v>
      </c>
    </row>
    <row r="117" spans="2:21">
      <c r="B117" t="s">
        <v>44</v>
      </c>
      <c r="C117">
        <v>350</v>
      </c>
      <c r="D117">
        <f>C117+273.15</f>
        <v>623.15</v>
      </c>
      <c r="N117" t="s">
        <v>44</v>
      </c>
      <c r="O117">
        <v>350</v>
      </c>
      <c r="P117">
        <f>O117+273.15</f>
        <v>623.15</v>
      </c>
    </row>
    <row r="118" spans="2:21">
      <c r="B118" t="s">
        <v>47</v>
      </c>
      <c r="C118">
        <f>8.314</f>
        <v>8.3140000000000001</v>
      </c>
      <c r="D118">
        <f>C118</f>
        <v>8.3140000000000001</v>
      </c>
      <c r="N118" t="s">
        <v>47</v>
      </c>
      <c r="O118">
        <v>8.3140000000000001</v>
      </c>
      <c r="P118">
        <f>O118</f>
        <v>8.3140000000000001</v>
      </c>
    </row>
    <row r="120" spans="2:21">
      <c r="C120" t="s">
        <v>85</v>
      </c>
      <c r="D120" t="s">
        <v>86</v>
      </c>
      <c r="E120" t="s">
        <v>87</v>
      </c>
      <c r="F120" t="s">
        <v>88</v>
      </c>
      <c r="G120" t="s">
        <v>89</v>
      </c>
    </row>
    <row r="121" spans="2:21">
      <c r="B121" t="s">
        <v>20</v>
      </c>
      <c r="C121">
        <v>1668.1</v>
      </c>
      <c r="D121">
        <f t="shared" ref="D121" si="9">(C121*1000)/(24*60*60)</f>
        <v>19.306712962962962</v>
      </c>
      <c r="E121">
        <f>14.7</f>
        <v>14.7</v>
      </c>
      <c r="F121">
        <f>29.15*10^-6</f>
        <v>2.9149999999999997E-5</v>
      </c>
      <c r="G121">
        <f>D121/$D$129</f>
        <v>0.16311862550482578</v>
      </c>
      <c r="H121">
        <f>E121*G121</f>
        <v>2.3978437949209388</v>
      </c>
      <c r="I121">
        <f>F121*G121</f>
        <v>4.7549079334656706E-6</v>
      </c>
      <c r="J121">
        <f>F121*G121</f>
        <v>4.7549079334656706E-6</v>
      </c>
      <c r="O121" t="s">
        <v>85</v>
      </c>
      <c r="P121" t="s">
        <v>86</v>
      </c>
      <c r="Q121" t="s">
        <v>87</v>
      </c>
      <c r="R121" t="s">
        <v>88</v>
      </c>
      <c r="S121" t="s">
        <v>89</v>
      </c>
    </row>
    <row r="122" spans="2:21">
      <c r="B122" t="s">
        <v>25</v>
      </c>
      <c r="C122">
        <v>251.3</v>
      </c>
      <c r="D122">
        <f t="shared" ref="D122:D127" si="10">(C122*1000)/(24*60*60)</f>
        <v>2.9085648148148149</v>
      </c>
      <c r="E122">
        <f>16.79</f>
        <v>16.79</v>
      </c>
      <c r="F122">
        <f>33.19*10^-6</f>
        <v>3.3189999999999999E-5</v>
      </c>
      <c r="G122">
        <f t="shared" ref="G122:G127" si="11">D122/$D$129</f>
        <v>2.4573892805804642E-2</v>
      </c>
      <c r="H122">
        <f t="shared" ref="H122:H127" si="12">E122*G122</f>
        <v>0.41259566020945992</v>
      </c>
      <c r="I122">
        <f t="shared" ref="I122:I127" si="13">F122*G122</f>
        <v>8.1560750222465609E-7</v>
      </c>
      <c r="J122">
        <f t="shared" ref="J122:J127" si="14">F122*G122</f>
        <v>8.1560750222465609E-7</v>
      </c>
      <c r="N122" t="s">
        <v>20</v>
      </c>
      <c r="O122">
        <v>1668.1</v>
      </c>
      <c r="P122">
        <f t="shared" ref="P122:P129" si="15">(O122*1000)/(24*60*60)</f>
        <v>19.306712962962962</v>
      </c>
      <c r="Q122">
        <v>13.51</v>
      </c>
      <c r="R122">
        <f>3.9*10^-5</f>
        <v>3.8999999999999999E-5</v>
      </c>
      <c r="S122">
        <f t="shared" ref="S122:S129" si="16">P122/$P$131</f>
        <v>0.16311862550482578</v>
      </c>
      <c r="T122">
        <f t="shared" ref="T122:T129" si="17">Q122*S122</f>
        <v>2.2037326305701961</v>
      </c>
      <c r="U122">
        <f t="shared" ref="U122:U129" si="18">R122*S122</f>
        <v>6.361626394688205E-6</v>
      </c>
    </row>
    <row r="123" spans="2:21">
      <c r="B123" t="s">
        <v>143</v>
      </c>
      <c r="C123">
        <v>21.4</v>
      </c>
      <c r="D123">
        <f t="shared" si="10"/>
        <v>0.24768518518518517</v>
      </c>
      <c r="E123">
        <f>20.96</f>
        <v>20.96</v>
      </c>
      <c r="F123">
        <f>39.06*10^-6</f>
        <v>3.9060000000000002E-5</v>
      </c>
      <c r="G123">
        <f t="shared" si="11"/>
        <v>2.0926434780908052E-3</v>
      </c>
      <c r="H123">
        <f t="shared" si="12"/>
        <v>4.3861807300783276E-2</v>
      </c>
      <c r="I123">
        <f t="shared" si="13"/>
        <v>8.1738654254226858E-8</v>
      </c>
      <c r="J123">
        <f t="shared" si="14"/>
        <v>8.1738654254226858E-8</v>
      </c>
      <c r="N123" t="s">
        <v>25</v>
      </c>
      <c r="O123">
        <v>251.3</v>
      </c>
      <c r="P123">
        <f t="shared" si="15"/>
        <v>2.9085648148148149</v>
      </c>
      <c r="Q123">
        <v>15.44</v>
      </c>
      <c r="R123">
        <f>4.3*10^-5</f>
        <v>4.3000000000000002E-5</v>
      </c>
      <c r="S123">
        <f t="shared" si="16"/>
        <v>2.4573892805804642E-2</v>
      </c>
      <c r="T123">
        <f t="shared" si="17"/>
        <v>0.37942090492162367</v>
      </c>
      <c r="U123">
        <f t="shared" si="18"/>
        <v>1.0566773906495996E-6</v>
      </c>
    </row>
    <row r="124" spans="2:21">
      <c r="B124" t="s">
        <v>18</v>
      </c>
      <c r="C124">
        <v>20.8</v>
      </c>
      <c r="D124">
        <f t="shared" si="10"/>
        <v>0.24074074074074073</v>
      </c>
      <c r="E124">
        <f>8.41</f>
        <v>8.41</v>
      </c>
      <c r="F124">
        <f>19.45*10^-6</f>
        <v>1.9449999999999998E-5</v>
      </c>
      <c r="G124">
        <f t="shared" si="11"/>
        <v>2.0339712310415304E-3</v>
      </c>
      <c r="H124">
        <f t="shared" si="12"/>
        <v>1.7105698053059271E-2</v>
      </c>
      <c r="I124">
        <f t="shared" si="13"/>
        <v>3.9560740443757764E-8</v>
      </c>
      <c r="J124">
        <f t="shared" si="14"/>
        <v>3.9560740443757764E-8</v>
      </c>
      <c r="N124" t="s">
        <v>143</v>
      </c>
      <c r="O124">
        <v>21.4</v>
      </c>
      <c r="P124">
        <f t="shared" si="15"/>
        <v>0.24768518518518517</v>
      </c>
      <c r="Q124">
        <v>61.28</v>
      </c>
      <c r="R124">
        <f>2.6*10^-5</f>
        <v>2.6000000000000002E-5</v>
      </c>
      <c r="S124">
        <f t="shared" si="16"/>
        <v>2.0926434780908047E-3</v>
      </c>
      <c r="T124">
        <f t="shared" si="17"/>
        <v>0.12823719233740452</v>
      </c>
      <c r="U124">
        <f t="shared" si="18"/>
        <v>5.4408730430360924E-8</v>
      </c>
    </row>
    <row r="125" spans="2:21">
      <c r="B125" t="s">
        <v>132</v>
      </c>
      <c r="C125">
        <v>3705.6</v>
      </c>
      <c r="D125">
        <f t="shared" si="10"/>
        <v>42.888888888888886</v>
      </c>
      <c r="E125">
        <f>1.06</f>
        <v>1.06</v>
      </c>
      <c r="F125">
        <f>13.53*10^-6</f>
        <v>1.3529999999999999E-5</v>
      </c>
      <c r="G125">
        <f t="shared" si="11"/>
        <v>0.36235979777632182</v>
      </c>
      <c r="H125">
        <f t="shared" si="12"/>
        <v>0.38410138564290114</v>
      </c>
      <c r="I125">
        <f t="shared" si="13"/>
        <v>4.9027280639136338E-6</v>
      </c>
      <c r="J125">
        <f t="shared" si="14"/>
        <v>4.9027280639136338E-6</v>
      </c>
      <c r="N125" t="s">
        <v>18</v>
      </c>
      <c r="O125">
        <v>20.8</v>
      </c>
      <c r="P125">
        <f t="shared" si="15"/>
        <v>0.24074074074074073</v>
      </c>
      <c r="Q125">
        <v>7.72</v>
      </c>
      <c r="R125">
        <f>2.8*10^-5</f>
        <v>2.8E-5</v>
      </c>
      <c r="S125">
        <f t="shared" si="16"/>
        <v>2.03397123104153E-3</v>
      </c>
      <c r="T125">
        <f t="shared" si="17"/>
        <v>1.5702257903640611E-2</v>
      </c>
      <c r="U125">
        <f t="shared" si="18"/>
        <v>5.6951194469162835E-8</v>
      </c>
    </row>
    <row r="126" spans="2:21">
      <c r="B126" t="s">
        <v>24</v>
      </c>
      <c r="C126">
        <v>1367</v>
      </c>
      <c r="D126">
        <f t="shared" si="10"/>
        <v>15.82175925925926</v>
      </c>
      <c r="E126">
        <f>14.69</f>
        <v>14.69</v>
      </c>
      <c r="F126">
        <f>20.59*10^-6</f>
        <v>2.0589999999999998E-5</v>
      </c>
      <c r="G126">
        <f t="shared" si="11"/>
        <v>0.13367493619393134</v>
      </c>
      <c r="H126">
        <f t="shared" si="12"/>
        <v>1.9636848126888513</v>
      </c>
      <c r="I126">
        <f t="shared" si="13"/>
        <v>2.7523669362330459E-6</v>
      </c>
      <c r="J126">
        <f t="shared" si="14"/>
        <v>2.7523669362330459E-6</v>
      </c>
      <c r="N126" t="s">
        <v>132</v>
      </c>
      <c r="O126">
        <v>5004.2</v>
      </c>
      <c r="P126">
        <f t="shared" si="15"/>
        <v>57.918981481481481</v>
      </c>
      <c r="Q126">
        <v>0.97</v>
      </c>
      <c r="R126">
        <f>1.6*10^-5</f>
        <v>1.6000000000000003E-5</v>
      </c>
      <c r="S126">
        <f t="shared" si="16"/>
        <v>0.48934609780663579</v>
      </c>
      <c r="T126">
        <f t="shared" si="17"/>
        <v>0.47466571487243669</v>
      </c>
      <c r="U126">
        <f t="shared" si="18"/>
        <v>7.8295375649061741E-6</v>
      </c>
    </row>
    <row r="127" spans="2:21">
      <c r="B127" t="s">
        <v>19</v>
      </c>
      <c r="C127">
        <v>3192.1</v>
      </c>
      <c r="D127">
        <f t="shared" si="10"/>
        <v>36.945601851851855</v>
      </c>
      <c r="E127">
        <f>9.45</f>
        <v>9.4499999999999993</v>
      </c>
      <c r="F127">
        <f>20.2*10^-6</f>
        <v>2.02E-5</v>
      </c>
      <c r="G127">
        <f t="shared" si="11"/>
        <v>0.31214613300998412</v>
      </c>
      <c r="H127">
        <f t="shared" si="12"/>
        <v>2.9497809569443496</v>
      </c>
      <c r="I127">
        <f t="shared" si="13"/>
        <v>6.3053518868016794E-6</v>
      </c>
      <c r="J127">
        <f t="shared" si="14"/>
        <v>6.3053518868016794E-6</v>
      </c>
      <c r="N127" t="s">
        <v>24</v>
      </c>
      <c r="O127">
        <v>68.400000000000006</v>
      </c>
      <c r="P127">
        <f t="shared" si="15"/>
        <v>0.79166666666666663</v>
      </c>
      <c r="Q127">
        <v>13.51</v>
      </c>
      <c r="R127">
        <f>3.9*10^-5</f>
        <v>3.8999999999999999E-5</v>
      </c>
      <c r="S127">
        <f t="shared" si="16"/>
        <v>6.6886361636173388E-3</v>
      </c>
      <c r="T127">
        <f t="shared" si="17"/>
        <v>9.036347457047024E-2</v>
      </c>
      <c r="U127">
        <f t="shared" si="18"/>
        <v>2.608568103810762E-7</v>
      </c>
    </row>
    <row r="128" spans="2:21">
      <c r="N128" t="s">
        <v>19</v>
      </c>
      <c r="O128">
        <v>1893.4</v>
      </c>
      <c r="P128">
        <f t="shared" si="15"/>
        <v>21.914351851851851</v>
      </c>
      <c r="Q128">
        <v>8.69</v>
      </c>
      <c r="R128">
        <f>2.5*10^-5</f>
        <v>2.5000000000000001E-5</v>
      </c>
      <c r="S128">
        <f t="shared" si="16"/>
        <v>0.18515005427182851</v>
      </c>
      <c r="T128">
        <f t="shared" si="17"/>
        <v>1.6089539716221897</v>
      </c>
      <c r="U128">
        <f t="shared" si="18"/>
        <v>4.6287513567957127E-6</v>
      </c>
    </row>
    <row r="129" spans="2:21">
      <c r="C129" s="31" t="s">
        <v>150</v>
      </c>
      <c r="D129" s="31">
        <f>SUM(D121:D127)</f>
        <v>118.3599537037037</v>
      </c>
      <c r="E129" s="31">
        <f>SUM(H121:H127)</f>
        <v>8.1689741157603439</v>
      </c>
      <c r="F129" s="31">
        <f>SUM(I121:I127)</f>
        <v>1.9652261717336673E-5</v>
      </c>
      <c r="G129" s="31">
        <f>SUM(G121:G127)</f>
        <v>1</v>
      </c>
      <c r="I129" t="s">
        <v>90</v>
      </c>
      <c r="J129">
        <f>D129*D118*D117/D116</f>
        <v>0.24213521295990093</v>
      </c>
      <c r="N129" t="s">
        <v>29</v>
      </c>
      <c r="O129">
        <v>1298.7</v>
      </c>
      <c r="P129">
        <f t="shared" si="15"/>
        <v>15.03125</v>
      </c>
      <c r="Q129">
        <v>21.23</v>
      </c>
      <c r="R129">
        <f>3.5*10^-5</f>
        <v>3.5000000000000004E-5</v>
      </c>
      <c r="S129">
        <f t="shared" si="16"/>
        <v>0.12699607873815552</v>
      </c>
      <c r="T129">
        <f t="shared" si="17"/>
        <v>2.6961267516110419</v>
      </c>
      <c r="U129">
        <f t="shared" si="18"/>
        <v>4.4448627558354439E-6</v>
      </c>
    </row>
    <row r="130" spans="2:21">
      <c r="O130" s="33"/>
      <c r="P130" s="33"/>
      <c r="Q130" s="33"/>
      <c r="R130" s="33"/>
      <c r="S130" s="33"/>
    </row>
    <row r="131" spans="2:21">
      <c r="B131" t="s">
        <v>95</v>
      </c>
      <c r="C131">
        <v>10</v>
      </c>
      <c r="D131">
        <f>J129/D132</f>
        <v>7.5034427511139326</v>
      </c>
      <c r="F131" t="s">
        <v>96</v>
      </c>
      <c r="G131">
        <f>E129*D131*D133/F129</f>
        <v>632221.56112353108</v>
      </c>
      <c r="H131" s="21" t="s">
        <v>151</v>
      </c>
      <c r="I131" s="21"/>
      <c r="J131" s="21"/>
      <c r="O131" s="31" t="s">
        <v>92</v>
      </c>
      <c r="P131" s="31">
        <f>SUM(P122:P129)</f>
        <v>118.35995370370371</v>
      </c>
      <c r="Q131" s="31">
        <f>SUM(T122:T129)</f>
        <v>7.5972028984090034</v>
      </c>
      <c r="R131" s="31">
        <f>SUM(U122:U129)</f>
        <v>2.4693672198155735E-5</v>
      </c>
      <c r="S131" s="31">
        <f>SUM(S122:S129)</f>
        <v>1</v>
      </c>
      <c r="T131" t="s">
        <v>152</v>
      </c>
      <c r="U131">
        <f>D161*O118*P117/P116</f>
        <v>0.24213521295990095</v>
      </c>
    </row>
    <row r="132" spans="2:21">
      <c r="B132" t="s">
        <v>147</v>
      </c>
      <c r="C132">
        <f>J129/C131</f>
        <v>2.4213521295990092E-2</v>
      </c>
      <c r="D132">
        <f>PI()*D133*D133/4</f>
        <v>3.2269882104978338E-2</v>
      </c>
      <c r="F132" t="s">
        <v>99</v>
      </c>
      <c r="G132" s="29">
        <v>1.2500000000000001E-2</v>
      </c>
      <c r="H132" s="21" t="s">
        <v>153</v>
      </c>
      <c r="I132" s="21"/>
      <c r="J132" s="21"/>
    </row>
    <row r="133" spans="2:21">
      <c r="B133" t="s">
        <v>101</v>
      </c>
      <c r="C133">
        <f>((4*C132)/PI())^0.5</f>
        <v>0.17558363486196996</v>
      </c>
      <c r="D133">
        <f>D134/1000</f>
        <v>0.20269999999999999</v>
      </c>
      <c r="F133" t="s">
        <v>102</v>
      </c>
      <c r="G133">
        <v>7</v>
      </c>
      <c r="H133" s="21" t="s">
        <v>94</v>
      </c>
      <c r="I133" s="21"/>
      <c r="J133" s="21">
        <f>D134</f>
        <v>202.7</v>
      </c>
      <c r="N133" t="s">
        <v>95</v>
      </c>
      <c r="O133">
        <v>10</v>
      </c>
      <c r="P133">
        <f>U131/P134</f>
        <v>8.2169156598419661</v>
      </c>
      <c r="R133" t="s">
        <v>96</v>
      </c>
      <c r="S133">
        <f>Q131*P133*P135/R131</f>
        <v>489673.38154137105</v>
      </c>
      <c r="T133" s="21" t="s">
        <v>144</v>
      </c>
      <c r="U133" s="21"/>
    </row>
    <row r="134" spans="2:21">
      <c r="B134" t="s">
        <v>104</v>
      </c>
      <c r="C134">
        <f>C133*1000</f>
        <v>175.58363486196995</v>
      </c>
      <c r="D134">
        <v>202.7</v>
      </c>
      <c r="F134" t="s">
        <v>105</v>
      </c>
      <c r="G134">
        <f>G132*G133*E129*D131*D131/(2*D133)</f>
        <v>99.268846480000178</v>
      </c>
      <c r="H134" s="21" t="s">
        <v>95</v>
      </c>
      <c r="I134" s="21"/>
      <c r="J134" s="21">
        <f>D131</f>
        <v>7.5034427511139326</v>
      </c>
      <c r="N134" t="s">
        <v>147</v>
      </c>
      <c r="O134">
        <f>U131/O133</f>
        <v>2.4213521295990095E-2</v>
      </c>
      <c r="P134">
        <f>PI()*P135*P135/4</f>
        <v>2.9467895617241602E-2</v>
      </c>
      <c r="R134" t="s">
        <v>99</v>
      </c>
      <c r="S134">
        <v>2.8400000000000001E-3</v>
      </c>
      <c r="T134" s="21" t="s">
        <v>154</v>
      </c>
      <c r="U134" s="21"/>
    </row>
    <row r="135" spans="2:21">
      <c r="B135" t="s">
        <v>107</v>
      </c>
      <c r="C135">
        <f>C134/25.4</f>
        <v>6.9127415299988177</v>
      </c>
      <c r="H135" s="21" t="s">
        <v>97</v>
      </c>
      <c r="I135" s="21"/>
      <c r="J135" s="21">
        <f>(J136-J133)/2</f>
        <v>8.2000000000000028</v>
      </c>
      <c r="N135" t="s">
        <v>101</v>
      </c>
      <c r="O135">
        <f>((4*O134)/PI())^0.5</f>
        <v>0.17558363486196996</v>
      </c>
      <c r="P135">
        <f>P136/1000</f>
        <v>0.19369999999999998</v>
      </c>
      <c r="R135" t="s">
        <v>102</v>
      </c>
      <c r="S135">
        <v>10</v>
      </c>
      <c r="T135" s="21" t="s">
        <v>94</v>
      </c>
      <c r="U135" s="21">
        <f>P136</f>
        <v>193.7</v>
      </c>
    </row>
    <row r="136" spans="2:21">
      <c r="H136" s="21" t="s">
        <v>100</v>
      </c>
      <c r="I136" s="21"/>
      <c r="J136" s="21">
        <v>219.1</v>
      </c>
      <c r="N136" t="s">
        <v>104</v>
      </c>
      <c r="O136">
        <f>O135*1000</f>
        <v>175.58363486196995</v>
      </c>
      <c r="P136">
        <v>193.7</v>
      </c>
      <c r="R136" t="s">
        <v>105</v>
      </c>
      <c r="S136">
        <f>S134*S135*Q131*P133*P133/(2*P135)</f>
        <v>37.603659156067614</v>
      </c>
      <c r="T136" s="21" t="s">
        <v>95</v>
      </c>
      <c r="U136" s="21">
        <f>P133</f>
        <v>8.2169156598419661</v>
      </c>
    </row>
    <row r="137" spans="2:21">
      <c r="H137" s="21" t="s">
        <v>103</v>
      </c>
      <c r="I137" s="21"/>
      <c r="J137" s="21">
        <f>G132</f>
        <v>1.2500000000000001E-2</v>
      </c>
      <c r="N137" t="s">
        <v>107</v>
      </c>
      <c r="O137">
        <f>O136/25.4</f>
        <v>6.9127415299988177</v>
      </c>
      <c r="P137">
        <f>P136/25.4</f>
        <v>7.6259842519685037</v>
      </c>
      <c r="T137" s="21" t="s">
        <v>97</v>
      </c>
      <c r="U137" s="21">
        <f>(U138-U135)/2</f>
        <v>12.700000000000003</v>
      </c>
    </row>
    <row r="138" spans="2:21">
      <c r="H138" s="21" t="s">
        <v>106</v>
      </c>
      <c r="I138" s="21"/>
      <c r="J138" s="21">
        <f>G134/(1.01321*10^5)</f>
        <v>9.7974601987742098E-4</v>
      </c>
      <c r="T138" s="21" t="s">
        <v>100</v>
      </c>
      <c r="U138" s="21">
        <v>219.1</v>
      </c>
    </row>
    <row r="139" spans="2:21">
      <c r="H139" s="21"/>
      <c r="I139" s="21"/>
      <c r="J139" s="21"/>
      <c r="T139" s="21" t="s">
        <v>103</v>
      </c>
      <c r="U139" s="21">
        <f>S134</f>
        <v>2.8400000000000001E-3</v>
      </c>
    </row>
    <row r="140" spans="2:21">
      <c r="H140" s="21" t="s">
        <v>110</v>
      </c>
      <c r="I140" s="21"/>
      <c r="J140" s="21">
        <f>G133</f>
        <v>7</v>
      </c>
      <c r="T140" s="21" t="s">
        <v>106</v>
      </c>
      <c r="U140" s="21">
        <f>S136/(1.01321*10^5)</f>
        <v>3.711339125755531E-4</v>
      </c>
    </row>
    <row r="141" spans="2:21">
      <c r="T141" s="21"/>
      <c r="U141" s="21"/>
    </row>
    <row r="142" spans="2:21">
      <c r="T142" s="21" t="s">
        <v>110</v>
      </c>
      <c r="U142" s="21">
        <v>10</v>
      </c>
    </row>
    <row r="144" spans="2:21">
      <c r="B144" s="23" t="s">
        <v>155</v>
      </c>
      <c r="M144" s="23" t="s">
        <v>156</v>
      </c>
    </row>
    <row r="145" spans="2:34">
      <c r="B145" s="32" t="s">
        <v>157</v>
      </c>
      <c r="M145" s="32" t="s">
        <v>75</v>
      </c>
    </row>
    <row r="146" spans="2:34">
      <c r="B146" t="s">
        <v>84</v>
      </c>
      <c r="C146">
        <v>25</v>
      </c>
      <c r="D146">
        <f>C146*1.013*10^5</f>
        <v>2532499.9999999995</v>
      </c>
      <c r="M146" t="s">
        <v>84</v>
      </c>
      <c r="N146">
        <v>25</v>
      </c>
      <c r="O146">
        <f>N146*1.013*10^5</f>
        <v>2532499.9999999995</v>
      </c>
    </row>
    <row r="147" spans="2:34">
      <c r="B147" t="s">
        <v>44</v>
      </c>
      <c r="C147">
        <v>130</v>
      </c>
      <c r="D147">
        <f>C147+273.15</f>
        <v>403.15</v>
      </c>
      <c r="M147" t="s">
        <v>44</v>
      </c>
      <c r="N147">
        <v>130</v>
      </c>
      <c r="O147">
        <f>N147+273.15</f>
        <v>403.15</v>
      </c>
    </row>
    <row r="148" spans="2:34">
      <c r="B148" t="s">
        <v>47</v>
      </c>
      <c r="C148">
        <v>8.3140000000000001</v>
      </c>
      <c r="D148">
        <f>C148</f>
        <v>8.3140000000000001</v>
      </c>
      <c r="M148" t="s">
        <v>47</v>
      </c>
      <c r="N148">
        <v>8.3140000000000001</v>
      </c>
      <c r="O148">
        <f>N148</f>
        <v>8.3140000000000001</v>
      </c>
    </row>
    <row r="151" spans="2:34">
      <c r="C151" t="s">
        <v>85</v>
      </c>
      <c r="D151" t="s">
        <v>86</v>
      </c>
      <c r="E151" t="s">
        <v>87</v>
      </c>
      <c r="F151" t="s">
        <v>88</v>
      </c>
      <c r="G151" t="s">
        <v>89</v>
      </c>
      <c r="N151" t="s">
        <v>85</v>
      </c>
      <c r="O151" t="s">
        <v>86</v>
      </c>
      <c r="P151" t="s">
        <v>87</v>
      </c>
      <c r="Q151" t="s">
        <v>88</v>
      </c>
      <c r="R151" t="s">
        <v>89</v>
      </c>
    </row>
    <row r="152" spans="2:34">
      <c r="B152" t="s">
        <v>20</v>
      </c>
      <c r="C152">
        <v>1668.1</v>
      </c>
      <c r="D152">
        <f t="shared" ref="D152:D159" si="19">(C152*1000)/(24*60*60)</f>
        <v>19.306712962962962</v>
      </c>
      <c r="E152">
        <v>22</v>
      </c>
      <c r="F152">
        <f>2.4*10^-5</f>
        <v>2.4000000000000001E-5</v>
      </c>
      <c r="G152">
        <f t="shared" ref="G152:G159" si="20">D152/$D$161</f>
        <v>0.16311862550482578</v>
      </c>
      <c r="H152">
        <f t="shared" ref="H152:H159" si="21">E152*G152</f>
        <v>3.5886097611061674</v>
      </c>
      <c r="J152">
        <f t="shared" ref="J152:J159" si="22">F152*G152</f>
        <v>3.9148470121158191E-6</v>
      </c>
      <c r="M152" t="s">
        <v>20</v>
      </c>
      <c r="N152">
        <v>1668.1</v>
      </c>
      <c r="O152">
        <f t="shared" ref="O152:O158" si="23">(N152*1000)/(24*60*60)</f>
        <v>19.306712962962962</v>
      </c>
      <c r="P152">
        <v>22</v>
      </c>
      <c r="Q152">
        <f>2.4*10^-5</f>
        <v>2.4000000000000001E-5</v>
      </c>
      <c r="R152">
        <f>O152/$O$161</f>
        <v>0.21865537626656528</v>
      </c>
      <c r="S152">
        <f>P152*R152</f>
        <v>4.8104182778644358</v>
      </c>
      <c r="U152">
        <f>Q152*R152</f>
        <v>5.247729030397567E-6</v>
      </c>
    </row>
    <row r="153" spans="2:34">
      <c r="B153" t="s">
        <v>25</v>
      </c>
      <c r="C153">
        <v>251.3</v>
      </c>
      <c r="D153">
        <f t="shared" si="19"/>
        <v>2.9085648148148149</v>
      </c>
      <c r="E153">
        <v>25.1</v>
      </c>
      <c r="F153">
        <f>2.6*10^-5</f>
        <v>2.6000000000000002E-5</v>
      </c>
      <c r="G153">
        <f t="shared" si="20"/>
        <v>2.4573892805804642E-2</v>
      </c>
      <c r="H153">
        <f t="shared" si="21"/>
        <v>0.61680470942569654</v>
      </c>
      <c r="J153">
        <f t="shared" si="22"/>
        <v>6.389212129509207E-7</v>
      </c>
      <c r="M153" t="s">
        <v>25</v>
      </c>
      <c r="N153">
        <v>251.3</v>
      </c>
      <c r="O153">
        <f t="shared" si="23"/>
        <v>2.9085648148148149</v>
      </c>
      <c r="P153">
        <v>25.1</v>
      </c>
      <c r="Q153">
        <f>2.6*10^-5</f>
        <v>2.6000000000000002E-5</v>
      </c>
      <c r="R153">
        <f t="shared" ref="R153:R158" si="24">O153/$O$161</f>
        <v>3.2940528778723013E-2</v>
      </c>
      <c r="S153">
        <f t="shared" ref="S153:S158" si="25">P153*R153</f>
        <v>0.82680727234594764</v>
      </c>
      <c r="U153">
        <f t="shared" ref="U153:U158" si="26">Q153*R153</f>
        <v>8.5645374824679841E-7</v>
      </c>
    </row>
    <row r="154" spans="2:34">
      <c r="B154" t="s">
        <v>143</v>
      </c>
      <c r="C154">
        <v>21.4</v>
      </c>
      <c r="D154">
        <f t="shared" si="19"/>
        <v>0.24768518518518517</v>
      </c>
      <c r="E154">
        <v>99.7</v>
      </c>
      <c r="F154">
        <f>2*10^-5</f>
        <v>2.0000000000000002E-5</v>
      </c>
      <c r="G154">
        <f t="shared" si="20"/>
        <v>2.0926434780908047E-3</v>
      </c>
      <c r="H154">
        <f t="shared" si="21"/>
        <v>0.20863655476565324</v>
      </c>
      <c r="J154">
        <f t="shared" si="22"/>
        <v>4.1852869561816101E-8</v>
      </c>
      <c r="M154" t="s">
        <v>143</v>
      </c>
      <c r="N154">
        <v>21.4</v>
      </c>
      <c r="O154">
        <f t="shared" si="23"/>
        <v>0.24768518518518517</v>
      </c>
      <c r="P154">
        <v>99.7</v>
      </c>
      <c r="Q154">
        <f>2*10^-5</f>
        <v>2.0000000000000002E-5</v>
      </c>
      <c r="R154">
        <f t="shared" si="24"/>
        <v>2.805122625804506E-3</v>
      </c>
      <c r="S154">
        <f t="shared" si="25"/>
        <v>0.27967072579270924</v>
      </c>
      <c r="U154">
        <f t="shared" si="26"/>
        <v>5.6102452516090127E-8</v>
      </c>
    </row>
    <row r="155" spans="2:34">
      <c r="B155" t="s">
        <v>18</v>
      </c>
      <c r="C155">
        <v>20.8</v>
      </c>
      <c r="D155">
        <f t="shared" si="19"/>
        <v>0.24074074074074073</v>
      </c>
      <c r="E155">
        <v>12.6</v>
      </c>
      <c r="F155">
        <f>2.11*10^-5</f>
        <v>2.1100000000000001E-5</v>
      </c>
      <c r="G155">
        <f t="shared" si="20"/>
        <v>2.03397123104153E-3</v>
      </c>
      <c r="H155">
        <f t="shared" si="21"/>
        <v>2.5628037511123278E-2</v>
      </c>
      <c r="J155">
        <f t="shared" si="22"/>
        <v>4.2916792974976288E-8</v>
      </c>
      <c r="M155" t="s">
        <v>18</v>
      </c>
      <c r="N155">
        <v>20.8</v>
      </c>
      <c r="O155">
        <f t="shared" si="23"/>
        <v>0.24074074074074073</v>
      </c>
      <c r="P155">
        <v>12.6</v>
      </c>
      <c r="Q155">
        <f>2.11*10^-5</f>
        <v>2.1100000000000001E-5</v>
      </c>
      <c r="R155">
        <f t="shared" si="24"/>
        <v>2.7264743278847536E-3</v>
      </c>
      <c r="S155">
        <f t="shared" si="25"/>
        <v>3.4353576531347893E-2</v>
      </c>
      <c r="U155">
        <f t="shared" si="26"/>
        <v>5.7528608318368304E-8</v>
      </c>
    </row>
    <row r="156" spans="2:34">
      <c r="B156" t="s">
        <v>132</v>
      </c>
      <c r="C156">
        <v>5004.2</v>
      </c>
      <c r="D156">
        <f t="shared" si="19"/>
        <v>57.918981481481481</v>
      </c>
      <c r="E156">
        <v>1.57</v>
      </c>
      <c r="F156">
        <f>1.2*10^-5</f>
        <v>1.2E-5</v>
      </c>
      <c r="G156">
        <f t="shared" si="20"/>
        <v>0.48934609780663579</v>
      </c>
      <c r="H156">
        <f t="shared" si="21"/>
        <v>0.76827337355641823</v>
      </c>
      <c r="J156">
        <f t="shared" si="22"/>
        <v>5.8721531736796293E-6</v>
      </c>
      <c r="M156" t="s">
        <v>132</v>
      </c>
      <c r="N156">
        <v>5004.2</v>
      </c>
      <c r="O156">
        <f t="shared" si="23"/>
        <v>57.918981481481481</v>
      </c>
      <c r="P156">
        <v>1.57</v>
      </c>
      <c r="Q156">
        <f>1.2*10^-5</f>
        <v>1.2E-5</v>
      </c>
      <c r="R156">
        <f t="shared" si="24"/>
        <v>0.65595302075004258</v>
      </c>
      <c r="S156">
        <f t="shared" si="25"/>
        <v>1.029846242577567</v>
      </c>
      <c r="U156">
        <f t="shared" si="26"/>
        <v>7.871436249000511E-6</v>
      </c>
    </row>
    <row r="157" spans="2:34">
      <c r="B157" t="s">
        <v>24</v>
      </c>
      <c r="C157">
        <v>68.400000000000006</v>
      </c>
      <c r="D157">
        <f t="shared" si="19"/>
        <v>0.79166666666666663</v>
      </c>
      <c r="E157">
        <v>22</v>
      </c>
      <c r="F157">
        <f>2.4*10^-5</f>
        <v>2.4000000000000001E-5</v>
      </c>
      <c r="G157">
        <f t="shared" si="20"/>
        <v>6.6886361636173388E-3</v>
      </c>
      <c r="H157">
        <f t="shared" si="21"/>
        <v>0.14714999559958145</v>
      </c>
      <c r="J157">
        <f t="shared" si="22"/>
        <v>1.6052726792681613E-7</v>
      </c>
      <c r="M157" t="s">
        <v>24</v>
      </c>
      <c r="N157">
        <v>68.400000000000006</v>
      </c>
      <c r="O157">
        <f t="shared" si="23"/>
        <v>0.79166666666666663</v>
      </c>
      <c r="P157">
        <v>22</v>
      </c>
      <c r="Q157">
        <f>2.4*10^-5</f>
        <v>2.4000000000000001E-5</v>
      </c>
      <c r="R157">
        <f t="shared" si="24"/>
        <v>8.9659059628517859E-3</v>
      </c>
      <c r="S157">
        <f t="shared" si="25"/>
        <v>0.19724993118273929</v>
      </c>
      <c r="U157">
        <f t="shared" si="26"/>
        <v>2.1518174310844287E-7</v>
      </c>
    </row>
    <row r="158" spans="2:34">
      <c r="B158" t="s">
        <v>19</v>
      </c>
      <c r="C158">
        <v>1893.4</v>
      </c>
      <c r="D158">
        <f t="shared" si="19"/>
        <v>21.914351851851851</v>
      </c>
      <c r="E158">
        <v>14.1</v>
      </c>
      <c r="F158">
        <f>1.9*10^-5</f>
        <v>1.9000000000000001E-5</v>
      </c>
      <c r="G158">
        <f t="shared" si="20"/>
        <v>0.18515005427182851</v>
      </c>
      <c r="H158">
        <f t="shared" si="21"/>
        <v>2.6106157652327822</v>
      </c>
      <c r="J158">
        <f t="shared" si="22"/>
        <v>3.5178510311647421E-6</v>
      </c>
      <c r="M158" t="s">
        <v>19</v>
      </c>
      <c r="N158">
        <v>594.70000000000005</v>
      </c>
      <c r="O158">
        <f t="shared" si="23"/>
        <v>6.8831018518518521</v>
      </c>
      <c r="P158">
        <v>14.1</v>
      </c>
      <c r="Q158">
        <f>1.9*10^-5</f>
        <v>1.9000000000000001E-5</v>
      </c>
      <c r="R158">
        <f t="shared" si="24"/>
        <v>7.7953571288128035E-2</v>
      </c>
      <c r="S158">
        <f t="shared" si="25"/>
        <v>1.0991453551626054</v>
      </c>
      <c r="U158">
        <f t="shared" si="26"/>
        <v>1.4811178544744328E-6</v>
      </c>
    </row>
    <row r="159" spans="2:34">
      <c r="B159" t="s">
        <v>29</v>
      </c>
      <c r="C159">
        <v>1298.7</v>
      </c>
      <c r="D159">
        <f t="shared" si="19"/>
        <v>15.03125</v>
      </c>
      <c r="E159">
        <v>35</v>
      </c>
      <c r="F159">
        <f>2.1*10^-5</f>
        <v>2.1000000000000002E-5</v>
      </c>
      <c r="G159">
        <f t="shared" si="20"/>
        <v>0.12699607873815552</v>
      </c>
      <c r="H159">
        <f t="shared" si="21"/>
        <v>4.4448627558354437</v>
      </c>
      <c r="J159">
        <f t="shared" si="22"/>
        <v>2.6669176535012663E-6</v>
      </c>
      <c r="AH159" s="23" t="s">
        <v>158</v>
      </c>
    </row>
    <row r="160" spans="2:34">
      <c r="C160" s="33"/>
      <c r="D160" s="33"/>
      <c r="E160" s="33"/>
      <c r="F160" s="33"/>
      <c r="G160" s="33"/>
      <c r="N160" s="33"/>
      <c r="O160" s="33"/>
      <c r="P160" s="33"/>
      <c r="Q160" s="33"/>
      <c r="R160" s="33"/>
      <c r="AH160" s="32" t="s">
        <v>33</v>
      </c>
    </row>
    <row r="161" spans="2:42">
      <c r="C161" s="31" t="s">
        <v>92</v>
      </c>
      <c r="D161" s="31">
        <f>SUM(D152:D159)</f>
        <v>118.35995370370371</v>
      </c>
      <c r="E161" s="31">
        <f>SUM(H152:H159)</f>
        <v>12.410580953032866</v>
      </c>
      <c r="F161" s="31">
        <f>SUM(J152:J159)</f>
        <v>1.6855987013875986E-5</v>
      </c>
      <c r="G161" s="31">
        <f>SUM(G152:G159)</f>
        <v>1</v>
      </c>
      <c r="H161" t="s">
        <v>152</v>
      </c>
      <c r="J161">
        <f>D161*C148*D147/D146</f>
        <v>0.15665058349479913</v>
      </c>
      <c r="N161" s="31" t="s">
        <v>92</v>
      </c>
      <c r="O161" s="31">
        <f>SUM(O152:O158)</f>
        <v>88.297453703703709</v>
      </c>
      <c r="P161" s="31">
        <f>SUM(S152:S159)</f>
        <v>8.2774913814573523</v>
      </c>
      <c r="Q161" s="31">
        <f>SUM(U152:U159)</f>
        <v>1.578554968606221E-5</v>
      </c>
      <c r="R161" s="31">
        <f>SUM(R152:R159)</f>
        <v>1</v>
      </c>
      <c r="S161" t="s">
        <v>152</v>
      </c>
      <c r="U161">
        <f>O161*N148*O147/O146</f>
        <v>0.11686256382303209</v>
      </c>
      <c r="AH161" t="s">
        <v>84</v>
      </c>
      <c r="AI161">
        <v>25</v>
      </c>
      <c r="AJ161">
        <f>AI161*1.013*10^5</f>
        <v>2532499.9999999995</v>
      </c>
    </row>
    <row r="162" spans="2:42">
      <c r="AH162" t="s">
        <v>44</v>
      </c>
      <c r="AI162">
        <v>110</v>
      </c>
      <c r="AJ162">
        <f>AI162+273.15</f>
        <v>383.15</v>
      </c>
    </row>
    <row r="163" spans="2:42">
      <c r="B163" t="s">
        <v>95</v>
      </c>
      <c r="C163">
        <v>9</v>
      </c>
      <c r="D163">
        <f>J161/D164</f>
        <v>9.3569955719373095</v>
      </c>
      <c r="F163" t="s">
        <v>96</v>
      </c>
      <c r="G163">
        <f>E161*D163*D165/F161</f>
        <v>1005836.0649754265</v>
      </c>
      <c r="H163" s="21" t="s">
        <v>144</v>
      </c>
      <c r="I163" s="21"/>
      <c r="J163" s="21"/>
      <c r="M163" t="s">
        <v>95</v>
      </c>
      <c r="N163">
        <v>10</v>
      </c>
      <c r="O163">
        <f>U161/O164</f>
        <v>9.5228184037517618</v>
      </c>
      <c r="Q163" t="s">
        <v>96</v>
      </c>
      <c r="R163">
        <f>P161*O163*O165/Q161</f>
        <v>624186.7469923849</v>
      </c>
      <c r="S163" s="21" t="s">
        <v>159</v>
      </c>
      <c r="T163" s="21"/>
      <c r="U163" s="21"/>
      <c r="AH163" t="s">
        <v>47</v>
      </c>
      <c r="AI163">
        <v>8.3140000000000001</v>
      </c>
      <c r="AJ163">
        <f>AI163</f>
        <v>8.3140000000000001</v>
      </c>
    </row>
    <row r="164" spans="2:42">
      <c r="B164" t="s">
        <v>147</v>
      </c>
      <c r="C164">
        <f>J161/C163</f>
        <v>1.7405620388311015E-2</v>
      </c>
      <c r="D164">
        <f>PI()*D165*D165/4</f>
        <v>1.6741547250980003E-2</v>
      </c>
      <c r="F164" t="s">
        <v>99</v>
      </c>
      <c r="G164">
        <v>2.8400000000000001E-3</v>
      </c>
      <c r="H164" s="21" t="s">
        <v>160</v>
      </c>
      <c r="I164" s="21"/>
      <c r="J164" s="21"/>
      <c r="M164" t="s">
        <v>147</v>
      </c>
      <c r="N164">
        <f>U161/N163</f>
        <v>1.1686256382303209E-2</v>
      </c>
      <c r="O164">
        <f>PI()*O165*O165/4</f>
        <v>1.2271846303085129E-2</v>
      </c>
      <c r="Q164" t="s">
        <v>99</v>
      </c>
      <c r="R164">
        <v>2.8400000000000001E-3</v>
      </c>
      <c r="S164" s="21" t="s">
        <v>161</v>
      </c>
      <c r="T164" s="21"/>
      <c r="U164" s="21"/>
    </row>
    <row r="165" spans="2:42">
      <c r="B165" t="s">
        <v>101</v>
      </c>
      <c r="C165">
        <f>((4*C164)/PI())^0.5</f>
        <v>0.14886747186355448</v>
      </c>
      <c r="D165">
        <f>D166/1000</f>
        <v>0.14599999999999999</v>
      </c>
      <c r="F165" t="s">
        <v>102</v>
      </c>
      <c r="G165">
        <v>12</v>
      </c>
      <c r="H165" s="21" t="s">
        <v>94</v>
      </c>
      <c r="I165" s="21"/>
      <c r="J165" s="21">
        <f>D166</f>
        <v>146</v>
      </c>
      <c r="M165" t="s">
        <v>101</v>
      </c>
      <c r="N165">
        <f>((4*N164)/PI())^0.5</f>
        <v>0.12198116147939454</v>
      </c>
      <c r="O165">
        <f>O166/1000</f>
        <v>0.125</v>
      </c>
      <c r="Q165" t="s">
        <v>102</v>
      </c>
      <c r="R165">
        <v>12</v>
      </c>
      <c r="S165" s="21" t="s">
        <v>94</v>
      </c>
      <c r="T165" s="21"/>
      <c r="U165" s="21">
        <f>O166</f>
        <v>125</v>
      </c>
    </row>
    <row r="166" spans="2:42">
      <c r="B166" t="s">
        <v>104</v>
      </c>
      <c r="C166">
        <f>C165*1000</f>
        <v>148.86747186355447</v>
      </c>
      <c r="D166">
        <v>146</v>
      </c>
      <c r="F166" t="s">
        <v>105</v>
      </c>
      <c r="G166">
        <f>G164*G165*E161*D163*D163/(2*D165)</f>
        <v>126.81823200923324</v>
      </c>
      <c r="H166" s="21" t="s">
        <v>95</v>
      </c>
      <c r="I166" s="21"/>
      <c r="J166" s="21">
        <f>D163</f>
        <v>9.3569955719373095</v>
      </c>
      <c r="M166" t="s">
        <v>104</v>
      </c>
      <c r="N166">
        <f>N165*1000</f>
        <v>121.98116147939454</v>
      </c>
      <c r="O166">
        <v>125</v>
      </c>
      <c r="Q166" t="s">
        <v>105</v>
      </c>
      <c r="R166">
        <f>R164*R165*P161*O163*O163/(2*O165)</f>
        <v>102.32678277941588</v>
      </c>
      <c r="S166" s="21" t="s">
        <v>95</v>
      </c>
      <c r="T166" s="21"/>
      <c r="U166" s="21">
        <f>O163</f>
        <v>9.5228184037517618</v>
      </c>
      <c r="AI166" t="s">
        <v>85</v>
      </c>
      <c r="AJ166" t="s">
        <v>86</v>
      </c>
      <c r="AK166" t="s">
        <v>87</v>
      </c>
      <c r="AL166" t="s">
        <v>88</v>
      </c>
      <c r="AM166" t="s">
        <v>89</v>
      </c>
    </row>
    <row r="167" spans="2:42">
      <c r="B167" t="s">
        <v>107</v>
      </c>
      <c r="C167">
        <f>C166/25.4</f>
        <v>5.8609240891163177</v>
      </c>
      <c r="D167">
        <f>D166/25.4</f>
        <v>5.7480314960629926</v>
      </c>
      <c r="H167" s="21" t="s">
        <v>97</v>
      </c>
      <c r="I167" s="21"/>
      <c r="J167" s="21">
        <f>(J168-J165)/2</f>
        <v>11.150000000000006</v>
      </c>
      <c r="M167" t="s">
        <v>107</v>
      </c>
      <c r="N167">
        <f>N166/25.4</f>
        <v>4.8024079322596283</v>
      </c>
      <c r="O167">
        <f>O166/25.4</f>
        <v>4.9212598425196852</v>
      </c>
      <c r="S167" s="21" t="s">
        <v>97</v>
      </c>
      <c r="T167" s="21"/>
      <c r="U167" s="21">
        <f>(U168-U165)/2</f>
        <v>21.650000000000006</v>
      </c>
      <c r="AH167" t="s">
        <v>33</v>
      </c>
      <c r="AI167">
        <v>1298.7</v>
      </c>
      <c r="AJ167">
        <f>(AI167*1000)/(24*60*60)</f>
        <v>15.03125</v>
      </c>
      <c r="AK167">
        <v>1200</v>
      </c>
      <c r="AL167">
        <f>1.7*10^-5</f>
        <v>1.7E-5</v>
      </c>
      <c r="AM167">
        <f>AJ167/$AJ$176</f>
        <v>1</v>
      </c>
    </row>
    <row r="168" spans="2:42">
      <c r="H168" s="21" t="s">
        <v>100</v>
      </c>
      <c r="I168" s="21"/>
      <c r="J168" s="21">
        <v>168.3</v>
      </c>
      <c r="S168" s="21" t="s">
        <v>100</v>
      </c>
      <c r="T168" s="21"/>
      <c r="U168" s="21">
        <v>168.3</v>
      </c>
    </row>
    <row r="169" spans="2:42">
      <c r="H169" s="21" t="s">
        <v>103</v>
      </c>
      <c r="I169" s="21"/>
      <c r="J169" s="21">
        <f>G164</f>
        <v>2.8400000000000001E-3</v>
      </c>
      <c r="S169" s="21" t="s">
        <v>103</v>
      </c>
      <c r="T169" s="21"/>
      <c r="U169" s="21">
        <f>R164</f>
        <v>2.8400000000000001E-3</v>
      </c>
    </row>
    <row r="170" spans="2:42">
      <c r="H170" s="21" t="s">
        <v>106</v>
      </c>
      <c r="I170" s="21"/>
      <c r="J170" s="21">
        <f>G166/(1.01321*10^5)</f>
        <v>1.2516480493602832E-3</v>
      </c>
      <c r="S170" s="21" t="s">
        <v>106</v>
      </c>
      <c r="T170" s="21"/>
      <c r="U170" s="21">
        <f>R166/(1.01321*10^5)</f>
        <v>1.0099266961381735E-3</v>
      </c>
    </row>
    <row r="171" spans="2:42">
      <c r="H171" s="21"/>
      <c r="I171" s="21"/>
      <c r="J171" s="21"/>
      <c r="S171" s="21"/>
      <c r="T171" s="21"/>
      <c r="U171" s="21"/>
    </row>
    <row r="172" spans="2:42">
      <c r="H172" s="21" t="s">
        <v>110</v>
      </c>
      <c r="I172" s="21"/>
      <c r="J172" s="21">
        <f>G165</f>
        <v>12</v>
      </c>
      <c r="S172" s="21" t="s">
        <v>110</v>
      </c>
      <c r="T172" s="21"/>
      <c r="U172" s="21">
        <f>R165</f>
        <v>12</v>
      </c>
    </row>
    <row r="174" spans="2:42">
      <c r="B174" s="23" t="s">
        <v>162</v>
      </c>
      <c r="M174" s="23" t="s">
        <v>163</v>
      </c>
    </row>
    <row r="175" spans="2:42">
      <c r="B175" s="32" t="s">
        <v>164</v>
      </c>
      <c r="M175" s="32" t="s">
        <v>60</v>
      </c>
      <c r="AI175" s="33"/>
      <c r="AJ175" s="33"/>
      <c r="AK175" s="33"/>
      <c r="AL175" s="33"/>
      <c r="AM175" s="33"/>
    </row>
    <row r="176" spans="2:42">
      <c r="B176" t="s">
        <v>84</v>
      </c>
      <c r="C176">
        <v>25</v>
      </c>
      <c r="D176">
        <f>C176*1.013*10^5</f>
        <v>2532499.9999999995</v>
      </c>
      <c r="M176" t="s">
        <v>84</v>
      </c>
      <c r="N176">
        <v>7</v>
      </c>
      <c r="O176">
        <f>N176*1.013*10^5</f>
        <v>709099.99999999988</v>
      </c>
      <c r="AI176" s="31" t="s">
        <v>92</v>
      </c>
      <c r="AJ176" s="31">
        <f>SUM(AJ167:AJ167)</f>
        <v>15.03125</v>
      </c>
      <c r="AK176" s="31">
        <f>AK167</f>
        <v>1200</v>
      </c>
      <c r="AL176" s="31">
        <f>AL167</f>
        <v>1.7E-5</v>
      </c>
      <c r="AM176" s="31">
        <f>SUM(AM167:AM167)</f>
        <v>1</v>
      </c>
      <c r="AN176" t="s">
        <v>152</v>
      </c>
      <c r="AP176">
        <f>AJ176*AI163*AJ162/AJ161</f>
        <v>1.8907081405478778E-2</v>
      </c>
    </row>
    <row r="177" spans="2:42">
      <c r="B177" t="s">
        <v>44</v>
      </c>
      <c r="C177">
        <v>130</v>
      </c>
      <c r="D177">
        <f>C177+273.15</f>
        <v>403.15</v>
      </c>
      <c r="M177" t="s">
        <v>44</v>
      </c>
      <c r="N177">
        <v>150</v>
      </c>
      <c r="O177">
        <f>N177+273.15</f>
        <v>423.15</v>
      </c>
    </row>
    <row r="178" spans="2:42">
      <c r="B178" t="s">
        <v>47</v>
      </c>
      <c r="C178">
        <v>8.3140000000000001</v>
      </c>
      <c r="D178">
        <f>C178</f>
        <v>8.3140000000000001</v>
      </c>
      <c r="M178" t="s">
        <v>47</v>
      </c>
      <c r="N178">
        <v>8.3140000000000001</v>
      </c>
      <c r="O178">
        <f>N178</f>
        <v>8.3140000000000001</v>
      </c>
      <c r="AH178" t="s">
        <v>95</v>
      </c>
      <c r="AI178">
        <v>1.2</v>
      </c>
      <c r="AJ178">
        <f>AP176/AJ179</f>
        <v>1.069921943154776</v>
      </c>
      <c r="AL178" t="s">
        <v>96</v>
      </c>
      <c r="AM178">
        <f>AK176*AJ178*AJ180/AL176</f>
        <v>11328585.280462334</v>
      </c>
      <c r="AN178" s="21" t="s">
        <v>165</v>
      </c>
      <c r="AO178" s="21"/>
      <c r="AP178" s="21"/>
    </row>
    <row r="179" spans="2:42">
      <c r="AH179" t="s">
        <v>147</v>
      </c>
      <c r="AI179">
        <f>AP176/AI178</f>
        <v>1.5755901171232316E-2</v>
      </c>
      <c r="AJ179">
        <f>PI()*AJ180*AJ180/4</f>
        <v>1.7671458676442587E-2</v>
      </c>
      <c r="AL179" t="s">
        <v>99</v>
      </c>
      <c r="AM179">
        <v>1.2999999999999999E-2</v>
      </c>
      <c r="AN179" s="21" t="s">
        <v>160</v>
      </c>
      <c r="AO179" s="21"/>
      <c r="AP179" s="21"/>
    </row>
    <row r="180" spans="2:42">
      <c r="AH180" t="s">
        <v>101</v>
      </c>
      <c r="AI180">
        <f>((4*AI179)/PI())^0.5</f>
        <v>0.14163698822748264</v>
      </c>
      <c r="AJ180">
        <f>AJ181/1000</f>
        <v>0.15</v>
      </c>
      <c r="AL180" t="s">
        <v>102</v>
      </c>
      <c r="AM180">
        <v>7</v>
      </c>
      <c r="AN180" s="21" t="s">
        <v>94</v>
      </c>
      <c r="AO180" s="21"/>
      <c r="AP180" s="21">
        <f>AJ181</f>
        <v>150</v>
      </c>
    </row>
    <row r="181" spans="2:42">
      <c r="C181" t="s">
        <v>85</v>
      </c>
      <c r="D181" t="s">
        <v>86</v>
      </c>
      <c r="E181" t="s">
        <v>87</v>
      </c>
      <c r="F181" t="s">
        <v>88</v>
      </c>
      <c r="G181" t="s">
        <v>89</v>
      </c>
      <c r="N181" t="s">
        <v>85</v>
      </c>
      <c r="O181" t="s">
        <v>86</v>
      </c>
      <c r="P181" t="s">
        <v>87</v>
      </c>
      <c r="Q181" t="s">
        <v>88</v>
      </c>
      <c r="R181" t="s">
        <v>89</v>
      </c>
      <c r="AH181" t="s">
        <v>104</v>
      </c>
      <c r="AI181">
        <f>AI180*1000</f>
        <v>141.63698822748265</v>
      </c>
      <c r="AJ181">
        <v>150</v>
      </c>
      <c r="AL181" t="s">
        <v>105</v>
      </c>
      <c r="AM181">
        <f>AM179*AM180*AK176*AJ178*AJ178/(2*AJ180)</f>
        <v>416.68279905764933</v>
      </c>
      <c r="AN181" s="21" t="s">
        <v>95</v>
      </c>
      <c r="AO181" s="21"/>
      <c r="AP181" s="21">
        <f>AJ178</f>
        <v>1.069921943154776</v>
      </c>
    </row>
    <row r="182" spans="2:42">
      <c r="B182" t="s">
        <v>20</v>
      </c>
      <c r="C182">
        <v>1668.1</v>
      </c>
      <c r="D182">
        <f t="shared" ref="D182:D188" si="27">(C182*1000)/(24*60*60)</f>
        <v>19.306712962962962</v>
      </c>
      <c r="E182">
        <v>22.3</v>
      </c>
      <c r="F182">
        <f>2.4*10^-5</f>
        <v>2.4000000000000001E-5</v>
      </c>
      <c r="G182">
        <f t="shared" ref="G182:G188" si="28">D182/$D$191</f>
        <v>0.21963712013482906</v>
      </c>
      <c r="H182">
        <f t="shared" ref="H182:H188" si="29">E182*G182</f>
        <v>4.8979077790066885</v>
      </c>
      <c r="J182">
        <f t="shared" ref="J182:J188" si="30">F182*G182</f>
        <v>5.2712908832358977E-6</v>
      </c>
      <c r="M182" t="s">
        <v>20</v>
      </c>
      <c r="N182">
        <v>1668.1</v>
      </c>
      <c r="O182">
        <f t="shared" ref="O182:O188" si="31">(N182*1000)/(24*60*60)</f>
        <v>19.306712962962962</v>
      </c>
      <c r="P182">
        <v>22.3</v>
      </c>
      <c r="Q182">
        <f>2.4*10^-5</f>
        <v>2.4000000000000001E-5</v>
      </c>
      <c r="R182">
        <f>O182/$O$191</f>
        <v>0.21963712013482906</v>
      </c>
      <c r="S182">
        <f t="shared" ref="S182:S188" si="32">P182*R182</f>
        <v>4.8979077790066885</v>
      </c>
      <c r="U182">
        <f t="shared" ref="U182:U188" si="33">Q182*R182</f>
        <v>5.2712908832358977E-6</v>
      </c>
      <c r="AH182" t="s">
        <v>107</v>
      </c>
      <c r="AI182">
        <f>AI181/25.4</f>
        <v>5.5762593790347506</v>
      </c>
      <c r="AJ182">
        <f>AJ181/25.4</f>
        <v>5.9055118110236222</v>
      </c>
      <c r="AN182" s="21" t="s">
        <v>97</v>
      </c>
      <c r="AO182" s="21"/>
      <c r="AP182" s="21">
        <f>(AP183-AP180)/2</f>
        <v>9.1500000000000057</v>
      </c>
    </row>
    <row r="183" spans="2:42">
      <c r="B183" t="s">
        <v>25</v>
      </c>
      <c r="C183">
        <v>217.2</v>
      </c>
      <c r="D183">
        <f t="shared" si="27"/>
        <v>2.5138888888888888</v>
      </c>
      <c r="E183">
        <v>25.5</v>
      </c>
      <c r="F183">
        <f>2.6*10^-5</f>
        <v>2.6000000000000002E-5</v>
      </c>
      <c r="G183">
        <f t="shared" si="28"/>
        <v>2.8598514773265915E-2</v>
      </c>
      <c r="H183">
        <f t="shared" si="29"/>
        <v>0.72926212671828083</v>
      </c>
      <c r="J183">
        <f t="shared" si="30"/>
        <v>7.4356138410491388E-7</v>
      </c>
      <c r="M183" t="s">
        <v>25</v>
      </c>
      <c r="N183">
        <v>217.2</v>
      </c>
      <c r="O183">
        <f t="shared" si="31"/>
        <v>2.5138888888888888</v>
      </c>
      <c r="P183">
        <v>25.5</v>
      </c>
      <c r="Q183">
        <f>2.6*10^-5</f>
        <v>2.6000000000000002E-5</v>
      </c>
      <c r="R183">
        <f t="shared" ref="R183:R188" si="34">O183/$O$191</f>
        <v>2.8598514773265915E-2</v>
      </c>
      <c r="S183">
        <f t="shared" si="32"/>
        <v>0.72926212671828083</v>
      </c>
      <c r="U183">
        <f t="shared" si="33"/>
        <v>7.4356138410491388E-7</v>
      </c>
      <c r="AN183" s="21" t="s">
        <v>100</v>
      </c>
      <c r="AO183" s="21"/>
      <c r="AP183" s="21">
        <v>168.3</v>
      </c>
    </row>
    <row r="184" spans="2:42">
      <c r="B184" t="s">
        <v>143</v>
      </c>
      <c r="C184">
        <v>21.4</v>
      </c>
      <c r="D184">
        <f t="shared" si="27"/>
        <v>0.24768518518518517</v>
      </c>
      <c r="E184">
        <v>31.9</v>
      </c>
      <c r="F184">
        <f>2*10^-5</f>
        <v>2.0000000000000002E-5</v>
      </c>
      <c r="G184">
        <f t="shared" si="28"/>
        <v>2.8177173855796068E-3</v>
      </c>
      <c r="H184">
        <f t="shared" si="29"/>
        <v>8.9885184599989454E-2</v>
      </c>
      <c r="J184">
        <f t="shared" si="30"/>
        <v>5.6354347711592138E-8</v>
      </c>
      <c r="M184" t="s">
        <v>143</v>
      </c>
      <c r="N184">
        <v>21.4</v>
      </c>
      <c r="O184">
        <f t="shared" si="31"/>
        <v>0.24768518518518517</v>
      </c>
      <c r="P184">
        <v>31.9</v>
      </c>
      <c r="Q184">
        <f>2*10^-5</f>
        <v>2.0000000000000002E-5</v>
      </c>
      <c r="R184">
        <f t="shared" si="34"/>
        <v>2.8177173855796068E-3</v>
      </c>
      <c r="S184">
        <f t="shared" si="32"/>
        <v>8.9885184599989454E-2</v>
      </c>
      <c r="U184">
        <f t="shared" si="33"/>
        <v>5.6354347711592138E-8</v>
      </c>
      <c r="AN184" s="21" t="s">
        <v>103</v>
      </c>
      <c r="AO184" s="21"/>
      <c r="AP184" s="21">
        <f>AM179</f>
        <v>1.2999999999999999E-2</v>
      </c>
    </row>
    <row r="185" spans="2:42">
      <c r="B185" t="s">
        <v>18</v>
      </c>
      <c r="C185">
        <v>20.8</v>
      </c>
      <c r="D185">
        <f t="shared" si="27"/>
        <v>0.24074074074074073</v>
      </c>
      <c r="E185">
        <v>12.8</v>
      </c>
      <c r="F185">
        <f>2.11*10^-5</f>
        <v>2.1100000000000001E-5</v>
      </c>
      <c r="G185">
        <f t="shared" si="28"/>
        <v>2.7387159635540101E-3</v>
      </c>
      <c r="H185">
        <f t="shared" si="29"/>
        <v>3.5055564333491329E-2</v>
      </c>
      <c r="J185">
        <f t="shared" si="30"/>
        <v>5.7786906830989617E-8</v>
      </c>
      <c r="M185" t="s">
        <v>18</v>
      </c>
      <c r="N185">
        <v>20.8</v>
      </c>
      <c r="O185">
        <f t="shared" si="31"/>
        <v>0.24074074074074073</v>
      </c>
      <c r="P185">
        <v>12.8</v>
      </c>
      <c r="Q185">
        <f>2.11*10^-5</f>
        <v>2.1100000000000001E-5</v>
      </c>
      <c r="R185">
        <f t="shared" si="34"/>
        <v>2.7387159635540101E-3</v>
      </c>
      <c r="S185">
        <f t="shared" si="32"/>
        <v>3.5055564333491329E-2</v>
      </c>
      <c r="U185">
        <f t="shared" si="33"/>
        <v>5.7786906830989617E-8</v>
      </c>
      <c r="AN185" s="21" t="s">
        <v>106</v>
      </c>
      <c r="AO185" s="21"/>
      <c r="AP185" s="21">
        <f>AM181/(1.01321*10^5)</f>
        <v>4.112501841253534E-3</v>
      </c>
    </row>
    <row r="186" spans="2:42">
      <c r="B186" t="s">
        <v>132</v>
      </c>
      <c r="C186">
        <v>5004.2</v>
      </c>
      <c r="D186">
        <f t="shared" si="27"/>
        <v>57.918981481481481</v>
      </c>
      <c r="E186">
        <v>1.6</v>
      </c>
      <c r="F186">
        <f>1.2*10^-5</f>
        <v>1.2E-5</v>
      </c>
      <c r="G186">
        <f t="shared" si="28"/>
        <v>0.65889819350081624</v>
      </c>
      <c r="H186">
        <f t="shared" si="29"/>
        <v>1.0542371096013061</v>
      </c>
      <c r="J186">
        <f t="shared" si="30"/>
        <v>7.9067783220097953E-6</v>
      </c>
      <c r="M186" t="s">
        <v>132</v>
      </c>
      <c r="N186">
        <v>5004.2</v>
      </c>
      <c r="O186">
        <f t="shared" si="31"/>
        <v>57.918981481481481</v>
      </c>
      <c r="P186">
        <v>1.6</v>
      </c>
      <c r="Q186">
        <f>1.2*10^-5</f>
        <v>1.2E-5</v>
      </c>
      <c r="R186">
        <f t="shared" si="34"/>
        <v>0.65889819350081624</v>
      </c>
      <c r="S186">
        <f t="shared" si="32"/>
        <v>1.0542371096013061</v>
      </c>
      <c r="U186">
        <f t="shared" si="33"/>
        <v>7.9067783220097953E-6</v>
      </c>
      <c r="AN186" s="21"/>
      <c r="AO186" s="21"/>
      <c r="AP186" s="21"/>
    </row>
    <row r="187" spans="2:42">
      <c r="B187" t="s">
        <v>29</v>
      </c>
      <c r="C187">
        <v>68.400000000000006</v>
      </c>
      <c r="D187">
        <f t="shared" si="27"/>
        <v>0.79166666666666663</v>
      </c>
      <c r="E187">
        <v>35.1</v>
      </c>
      <c r="F187">
        <f>2.4*10^-5</f>
        <v>2.4000000000000001E-5</v>
      </c>
      <c r="G187">
        <f t="shared" si="28"/>
        <v>9.0061621109179951E-3</v>
      </c>
      <c r="H187">
        <f t="shared" si="29"/>
        <v>0.31611629009322162</v>
      </c>
      <c r="J187">
        <f t="shared" si="30"/>
        <v>2.1614789066203188E-7</v>
      </c>
      <c r="M187" t="s">
        <v>29</v>
      </c>
      <c r="N187">
        <v>68.400000000000006</v>
      </c>
      <c r="O187">
        <f t="shared" si="31"/>
        <v>0.79166666666666663</v>
      </c>
      <c r="P187">
        <v>35.1</v>
      </c>
      <c r="Q187">
        <f>2.4*10^-5</f>
        <v>2.4000000000000001E-5</v>
      </c>
      <c r="R187">
        <f t="shared" si="34"/>
        <v>9.0061621109179951E-3</v>
      </c>
      <c r="S187">
        <f t="shared" si="32"/>
        <v>0.31611629009322162</v>
      </c>
      <c r="U187">
        <f t="shared" si="33"/>
        <v>2.1614789066203188E-7</v>
      </c>
      <c r="AN187" s="21" t="s">
        <v>110</v>
      </c>
      <c r="AO187" s="21"/>
      <c r="AP187" s="21">
        <f>AM180</f>
        <v>7</v>
      </c>
    </row>
    <row r="188" spans="2:42">
      <c r="B188" t="s">
        <v>19</v>
      </c>
      <c r="C188">
        <v>594.70000000000005</v>
      </c>
      <c r="D188">
        <f t="shared" si="27"/>
        <v>6.8831018518518521</v>
      </c>
      <c r="E188">
        <v>14.3</v>
      </c>
      <c r="F188">
        <f>1.9*10^-5</f>
        <v>1.9000000000000001E-5</v>
      </c>
      <c r="G188">
        <f t="shared" si="28"/>
        <v>7.8303576131037014E-2</v>
      </c>
      <c r="H188">
        <f t="shared" si="29"/>
        <v>1.1197411386738294</v>
      </c>
      <c r="J188">
        <f t="shared" si="30"/>
        <v>1.4877679464897034E-6</v>
      </c>
      <c r="M188" t="s">
        <v>19</v>
      </c>
      <c r="N188">
        <v>594.70000000000005</v>
      </c>
      <c r="O188">
        <f t="shared" si="31"/>
        <v>6.8831018518518521</v>
      </c>
      <c r="P188">
        <v>14.3</v>
      </c>
      <c r="Q188">
        <f>1.9*10^-5</f>
        <v>1.9000000000000001E-5</v>
      </c>
      <c r="R188">
        <f t="shared" si="34"/>
        <v>7.8303576131037014E-2</v>
      </c>
      <c r="S188">
        <f t="shared" si="32"/>
        <v>1.1197411386738294</v>
      </c>
      <c r="U188">
        <f t="shared" si="33"/>
        <v>1.4877679464897034E-6</v>
      </c>
    </row>
    <row r="190" spans="2:42">
      <c r="C190" s="33"/>
      <c r="D190" s="33"/>
      <c r="E190" s="33"/>
      <c r="F190" s="33"/>
      <c r="G190" s="33"/>
      <c r="N190" s="33"/>
      <c r="O190" s="33"/>
      <c r="P190" s="33"/>
      <c r="Q190" s="33"/>
      <c r="R190" s="33"/>
    </row>
    <row r="191" spans="2:42">
      <c r="C191" s="31" t="s">
        <v>92</v>
      </c>
      <c r="D191" s="31">
        <f>SUM(D182:D188)</f>
        <v>87.902777777777786</v>
      </c>
      <c r="E191" s="31">
        <f>SUM(H182:H188)</f>
        <v>8.2422051930268072</v>
      </c>
      <c r="F191" s="31">
        <f>SUM(J182:J188)</f>
        <v>1.5739687681044924E-5</v>
      </c>
      <c r="G191" s="31">
        <f>SUM(G182:G188)</f>
        <v>0.99999999999999978</v>
      </c>
      <c r="H191" t="s">
        <v>152</v>
      </c>
      <c r="J191">
        <f>D191*C178*D177/D176</f>
        <v>0.11634020628441374</v>
      </c>
      <c r="N191" s="31" t="s">
        <v>92</v>
      </c>
      <c r="O191" s="31">
        <f>SUM(O182:O188)</f>
        <v>87.902777777777786</v>
      </c>
      <c r="P191" s="31">
        <f>SUM(S182:S188)</f>
        <v>8.2422051930268072</v>
      </c>
      <c r="Q191" s="31">
        <f>SUM(U182:U188)</f>
        <v>1.5739687681044924E-5</v>
      </c>
      <c r="R191" s="31">
        <f>SUM(R182:R188)</f>
        <v>0.99999999999999978</v>
      </c>
      <c r="S191" t="s">
        <v>152</v>
      </c>
      <c r="U191">
        <f>O191*N178*O177/O176</f>
        <v>0.43611344846166511</v>
      </c>
    </row>
    <row r="193" spans="2:21">
      <c r="B193" t="s">
        <v>95</v>
      </c>
      <c r="C193">
        <v>11</v>
      </c>
      <c r="D193">
        <f>J191/D194</f>
        <v>9.0410736867652499</v>
      </c>
      <c r="F193" t="s">
        <v>96</v>
      </c>
      <c r="G193">
        <f>E191*D193*D195/F191</f>
        <v>606006.51094309858</v>
      </c>
      <c r="H193" s="21" t="s">
        <v>165</v>
      </c>
      <c r="I193" s="21"/>
      <c r="J193" s="21"/>
      <c r="M193" t="s">
        <v>95</v>
      </c>
      <c r="N193">
        <v>8</v>
      </c>
      <c r="O193">
        <f>U191/O194</f>
        <v>5.9769506850605998</v>
      </c>
      <c r="Q193" t="s">
        <v>96</v>
      </c>
      <c r="R193">
        <f>P191*O193*O195/Q191</f>
        <v>953985.88052186964</v>
      </c>
      <c r="S193" s="21" t="s">
        <v>144</v>
      </c>
      <c r="T193" s="21"/>
      <c r="U193" s="21"/>
    </row>
    <row r="194" spans="2:21">
      <c r="B194" t="s">
        <v>147</v>
      </c>
      <c r="C194">
        <f>J191/C193</f>
        <v>1.0576382389492158E-2</v>
      </c>
      <c r="D194">
        <f>PI()*D195*D195/4</f>
        <v>1.2867963509103793E-2</v>
      </c>
      <c r="F194" t="s">
        <v>99</v>
      </c>
      <c r="G194">
        <v>2.7599999999999999E-3</v>
      </c>
      <c r="H194" s="21" t="s">
        <v>166</v>
      </c>
      <c r="I194" s="21"/>
      <c r="J194" s="21"/>
      <c r="M194" t="s">
        <v>147</v>
      </c>
      <c r="N194">
        <f>U191/N193</f>
        <v>5.4514181057708139E-2</v>
      </c>
      <c r="O194">
        <f>PI()*O195*O195/4</f>
        <v>7.2965876990039674E-2</v>
      </c>
      <c r="Q194" t="s">
        <v>99</v>
      </c>
      <c r="R194">
        <v>2.5200000000000001E-3</v>
      </c>
      <c r="S194" s="21" t="s">
        <v>167</v>
      </c>
      <c r="T194" s="21"/>
      <c r="U194" s="21"/>
    </row>
    <row r="195" spans="2:21">
      <c r="B195" t="s">
        <v>101</v>
      </c>
      <c r="C195">
        <f>((4*C194)/PI())^0.5</f>
        <v>0.11604425146702436</v>
      </c>
      <c r="D195">
        <f>D196/1000</f>
        <v>0.128</v>
      </c>
      <c r="F195" t="s">
        <v>102</v>
      </c>
      <c r="G195">
        <v>8</v>
      </c>
      <c r="H195" s="21" t="s">
        <v>94</v>
      </c>
      <c r="I195" s="21"/>
      <c r="J195" s="21">
        <f>D196</f>
        <v>128</v>
      </c>
      <c r="M195" t="s">
        <v>101</v>
      </c>
      <c r="N195">
        <f>((4*N194)/PI())^0.5</f>
        <v>0.26345703837917589</v>
      </c>
      <c r="O195">
        <f>O196/1000</f>
        <v>0.30480000000000002</v>
      </c>
      <c r="Q195" t="s">
        <v>102</v>
      </c>
      <c r="R195">
        <v>8</v>
      </c>
      <c r="S195" s="21" t="s">
        <v>94</v>
      </c>
      <c r="T195" s="21"/>
      <c r="U195" s="21">
        <f>O196</f>
        <v>304.8</v>
      </c>
    </row>
    <row r="196" spans="2:21">
      <c r="B196" t="s">
        <v>104</v>
      </c>
      <c r="C196">
        <f>C195*1000</f>
        <v>116.04425146702437</v>
      </c>
      <c r="D196">
        <v>128</v>
      </c>
      <c r="F196" t="s">
        <v>105</v>
      </c>
      <c r="G196">
        <f>G194*G195*E191*D193*D193/(2*D195)</f>
        <v>58.108885199121964</v>
      </c>
      <c r="H196" s="21" t="s">
        <v>95</v>
      </c>
      <c r="I196" s="21"/>
      <c r="J196" s="21">
        <f>D193</f>
        <v>9.0410736867652499</v>
      </c>
      <c r="M196" t="s">
        <v>104</v>
      </c>
      <c r="N196">
        <f>N195*1000</f>
        <v>263.45703837917591</v>
      </c>
      <c r="O196">
        <v>304.8</v>
      </c>
      <c r="Q196" t="s">
        <v>105</v>
      </c>
      <c r="R196">
        <f>R194*R195*P191*O193*O193/(2*O195)</f>
        <v>9.7375194196250199</v>
      </c>
      <c r="S196" s="21" t="s">
        <v>95</v>
      </c>
      <c r="T196" s="21"/>
      <c r="U196" s="21">
        <f>O193</f>
        <v>5.9769506850605998</v>
      </c>
    </row>
    <row r="197" spans="2:21">
      <c r="B197" t="s">
        <v>107</v>
      </c>
      <c r="C197">
        <f>C196/25.4</f>
        <v>4.5686713175993852</v>
      </c>
      <c r="D197">
        <f>D196/25.4</f>
        <v>5.0393700787401574</v>
      </c>
      <c r="H197" s="21" t="s">
        <v>97</v>
      </c>
      <c r="I197" s="21"/>
      <c r="J197" s="21">
        <f>(J198-J195)/2</f>
        <v>6.6500000000000057</v>
      </c>
      <c r="M197" t="s">
        <v>107</v>
      </c>
      <c r="N197">
        <f>N196/25.4</f>
        <v>10.372324345636848</v>
      </c>
      <c r="O197">
        <f>O196/25.4</f>
        <v>12.000000000000002</v>
      </c>
      <c r="S197" s="21" t="s">
        <v>97</v>
      </c>
      <c r="T197" s="21"/>
      <c r="U197" s="21">
        <f>(U198-U195)/2</f>
        <v>9.5499999999999829</v>
      </c>
    </row>
    <row r="198" spans="2:21">
      <c r="H198" s="21" t="s">
        <v>100</v>
      </c>
      <c r="I198" s="21"/>
      <c r="J198" s="21">
        <v>141.30000000000001</v>
      </c>
      <c r="S198" s="21" t="s">
        <v>100</v>
      </c>
      <c r="T198" s="21"/>
      <c r="U198" s="21">
        <v>323.89999999999998</v>
      </c>
    </row>
    <row r="199" spans="2:21">
      <c r="H199" s="21" t="s">
        <v>103</v>
      </c>
      <c r="I199" s="21"/>
      <c r="J199" s="21">
        <f>G194</f>
        <v>2.7599999999999999E-3</v>
      </c>
      <c r="S199" s="21" t="s">
        <v>103</v>
      </c>
      <c r="T199" s="21"/>
      <c r="U199" s="21">
        <f>R194</f>
        <v>2.5200000000000001E-3</v>
      </c>
    </row>
    <row r="200" spans="2:21">
      <c r="H200" s="21" t="s">
        <v>106</v>
      </c>
      <c r="I200" s="21"/>
      <c r="J200" s="21">
        <f>G196/(1.01321*10^5)</f>
        <v>5.7351274858244558E-4</v>
      </c>
      <c r="S200" s="21" t="s">
        <v>106</v>
      </c>
      <c r="T200" s="21"/>
      <c r="U200" s="21">
        <f>R196/(1.01321*10^5)</f>
        <v>9.6105638708905551E-5</v>
      </c>
    </row>
    <row r="201" spans="2:21">
      <c r="H201" s="21"/>
      <c r="I201" s="21"/>
      <c r="J201" s="21"/>
      <c r="S201" s="21"/>
      <c r="T201" s="21"/>
      <c r="U201" s="21"/>
    </row>
    <row r="202" spans="2:21">
      <c r="H202" s="21" t="s">
        <v>110</v>
      </c>
      <c r="I202" s="21"/>
      <c r="J202" s="21">
        <f>G195</f>
        <v>8</v>
      </c>
      <c r="S202" s="21" t="s">
        <v>110</v>
      </c>
      <c r="T202" s="21"/>
      <c r="U202" s="21">
        <f>R195</f>
        <v>8</v>
      </c>
    </row>
    <row r="205" spans="2:21">
      <c r="B205" s="23" t="s">
        <v>168</v>
      </c>
      <c r="M205" s="23" t="s">
        <v>169</v>
      </c>
    </row>
    <row r="206" spans="2:21">
      <c r="B206" s="32" t="s">
        <v>170</v>
      </c>
      <c r="M206" s="32" t="s">
        <v>171</v>
      </c>
    </row>
    <row r="207" spans="2:21">
      <c r="B207" t="s">
        <v>84</v>
      </c>
      <c r="C207">
        <v>7</v>
      </c>
      <c r="D207">
        <f>C207*1.013*10^5</f>
        <v>709099.99999999988</v>
      </c>
      <c r="M207" t="s">
        <v>84</v>
      </c>
      <c r="N207">
        <v>7</v>
      </c>
      <c r="O207">
        <f>N207*1.013*10^5</f>
        <v>709099.99999999988</v>
      </c>
    </row>
    <row r="208" spans="2:21">
      <c r="B208" t="s">
        <v>44</v>
      </c>
      <c r="C208">
        <v>30</v>
      </c>
      <c r="D208">
        <f>C208+273.15</f>
        <v>303.14999999999998</v>
      </c>
      <c r="M208" t="s">
        <v>44</v>
      </c>
      <c r="N208">
        <v>30</v>
      </c>
      <c r="O208">
        <f>N208+273.15</f>
        <v>303.14999999999998</v>
      </c>
    </row>
    <row r="209" spans="2:21">
      <c r="B209" t="s">
        <v>47</v>
      </c>
      <c r="C209">
        <v>8.3140000000000001</v>
      </c>
      <c r="D209">
        <f>C209</f>
        <v>8.3140000000000001</v>
      </c>
      <c r="M209" t="s">
        <v>47</v>
      </c>
      <c r="N209">
        <v>8.3140000000000001</v>
      </c>
      <c r="O209">
        <f>N209</f>
        <v>8.3140000000000001</v>
      </c>
    </row>
    <row r="212" spans="2:21">
      <c r="C212" t="s">
        <v>85</v>
      </c>
      <c r="D212" t="s">
        <v>86</v>
      </c>
      <c r="E212" t="s">
        <v>87</v>
      </c>
      <c r="F212" t="s">
        <v>88</v>
      </c>
      <c r="G212" t="s">
        <v>89</v>
      </c>
      <c r="N212" t="s">
        <v>85</v>
      </c>
      <c r="O212" t="s">
        <v>86</v>
      </c>
      <c r="P212" t="s">
        <v>87</v>
      </c>
      <c r="Q212" t="s">
        <v>88</v>
      </c>
      <c r="R212" t="s">
        <v>89</v>
      </c>
    </row>
    <row r="213" spans="2:21">
      <c r="B213" t="s">
        <v>20</v>
      </c>
      <c r="C213">
        <v>1668.1</v>
      </c>
      <c r="D213">
        <f t="shared" ref="D213:D219" si="35">(C213*1000)/(24*60*60)</f>
        <v>19.306712962962962</v>
      </c>
      <c r="E213">
        <v>7.78</v>
      </c>
      <c r="F213">
        <v>1.7799999999999999E-5</v>
      </c>
      <c r="G213">
        <f>D213/$D$222</f>
        <v>0.21963712013482906</v>
      </c>
      <c r="H213">
        <f t="shared" ref="H213:H219" si="36">E213*G213</f>
        <v>1.70877679464897</v>
      </c>
      <c r="J213">
        <f t="shared" ref="J213:J219" si="37">F213*G213</f>
        <v>3.9095407383999569E-6</v>
      </c>
      <c r="M213" t="s">
        <v>20</v>
      </c>
      <c r="N213">
        <v>1668.1</v>
      </c>
      <c r="O213">
        <f>(N213*1000)/(24*60*60)</f>
        <v>19.306712962962962</v>
      </c>
      <c r="P213">
        <v>7.78</v>
      </c>
      <c r="Q213">
        <v>1.7799999999999999E-5</v>
      </c>
      <c r="R213">
        <f>O213/$O$222</f>
        <v>0.22163318452380951</v>
      </c>
      <c r="S213">
        <f>P213*R213</f>
        <v>1.724306175595238</v>
      </c>
      <c r="U213">
        <f>Q213*R213</f>
        <v>3.9450706845238091E-6</v>
      </c>
    </row>
    <row r="214" spans="2:21">
      <c r="B214" t="s">
        <v>25</v>
      </c>
      <c r="C214">
        <v>217.2</v>
      </c>
      <c r="D214">
        <f t="shared" si="35"/>
        <v>2.5138888888888888</v>
      </c>
      <c r="E214">
        <v>8.89</v>
      </c>
      <c r="F214">
        <v>2.0000000000000002E-5</v>
      </c>
      <c r="G214">
        <f t="shared" ref="G214:G219" si="38">D214/$D$222</f>
        <v>2.8598514773265915E-2</v>
      </c>
      <c r="H214">
        <f t="shared" si="36"/>
        <v>0.254240796334334</v>
      </c>
      <c r="J214">
        <f t="shared" si="37"/>
        <v>5.7197029546531831E-7</v>
      </c>
      <c r="M214" t="s">
        <v>25</v>
      </c>
      <c r="N214">
        <v>217.2</v>
      </c>
      <c r="O214">
        <f>(N214*1000)/(24*60*60)</f>
        <v>2.5138888888888888</v>
      </c>
      <c r="P214">
        <v>8.89</v>
      </c>
      <c r="Q214">
        <v>2.0000000000000002E-5</v>
      </c>
      <c r="R214">
        <f t="shared" ref="R214:R219" si="39">O214/$O$222</f>
        <v>2.8858418367346938E-2</v>
      </c>
      <c r="S214">
        <f>P214*R214</f>
        <v>0.25655133928571427</v>
      </c>
      <c r="U214">
        <f>Q214*R214</f>
        <v>5.7716836734693885E-7</v>
      </c>
    </row>
    <row r="215" spans="2:21">
      <c r="B215" t="s">
        <v>143</v>
      </c>
      <c r="C215">
        <v>21.4</v>
      </c>
      <c r="D215">
        <f t="shared" si="35"/>
        <v>0.24768518518518517</v>
      </c>
      <c r="E215">
        <v>11.11</v>
      </c>
      <c r="F215">
        <v>2.1999999999999999E-5</v>
      </c>
      <c r="G215">
        <f t="shared" si="38"/>
        <v>2.8177173855796068E-3</v>
      </c>
      <c r="H215">
        <f t="shared" si="36"/>
        <v>3.1304840153789433E-2</v>
      </c>
      <c r="J215">
        <f t="shared" si="37"/>
        <v>6.1989782482751345E-8</v>
      </c>
      <c r="M215" t="s">
        <v>143</v>
      </c>
      <c r="N215">
        <v>21.4</v>
      </c>
      <c r="O215">
        <f>(N215*1000)/(24*60*60)</f>
        <v>0.24768518518518517</v>
      </c>
      <c r="P215">
        <v>11.11</v>
      </c>
      <c r="Q215">
        <v>2.1999999999999999E-5</v>
      </c>
      <c r="R215">
        <f t="shared" si="39"/>
        <v>2.8433248299319725E-3</v>
      </c>
      <c r="S215">
        <f>P215*R215</f>
        <v>3.1589338860544214E-2</v>
      </c>
      <c r="U215">
        <f>Q215*R215</f>
        <v>6.2553146258503396E-8</v>
      </c>
    </row>
    <row r="216" spans="2:21">
      <c r="B216" t="s">
        <v>18</v>
      </c>
      <c r="C216">
        <v>20.8</v>
      </c>
      <c r="D216">
        <f t="shared" si="35"/>
        <v>0.24074074074074073</v>
      </c>
      <c r="E216">
        <v>4.4400000000000004</v>
      </c>
      <c r="F216">
        <v>1.1E-5</v>
      </c>
      <c r="G216">
        <f t="shared" si="38"/>
        <v>2.7387159635540101E-3</v>
      </c>
      <c r="H216">
        <f t="shared" si="36"/>
        <v>1.2159898878179805E-2</v>
      </c>
      <c r="J216">
        <f t="shared" si="37"/>
        <v>3.0125875599094113E-8</v>
      </c>
      <c r="M216" t="s">
        <v>18</v>
      </c>
      <c r="N216">
        <v>20.8</v>
      </c>
      <c r="O216">
        <f>(N216*1000)/(24*60*60)</f>
        <v>0.24074074074074073</v>
      </c>
      <c r="P216">
        <v>4.4400000000000004</v>
      </c>
      <c r="Q216">
        <v>1.1E-5</v>
      </c>
      <c r="R216">
        <f t="shared" si="39"/>
        <v>2.7636054421768703E-3</v>
      </c>
      <c r="S216">
        <f>P216*R216</f>
        <v>1.2270408163265306E-2</v>
      </c>
      <c r="U216">
        <f>Q216*R216</f>
        <v>3.0399659863945576E-8</v>
      </c>
    </row>
    <row r="217" spans="2:21">
      <c r="B217" t="s">
        <v>132</v>
      </c>
      <c r="C217">
        <v>5004.2</v>
      </c>
      <c r="D217">
        <f t="shared" si="35"/>
        <v>57.918981481481481</v>
      </c>
      <c r="E217">
        <v>0.56000000000000005</v>
      </c>
      <c r="F217">
        <v>8.8999999999999995E-6</v>
      </c>
      <c r="G217">
        <f t="shared" si="38"/>
        <v>0.65889819350081624</v>
      </c>
      <c r="H217">
        <f t="shared" si="36"/>
        <v>0.36898298836045712</v>
      </c>
      <c r="J217">
        <f t="shared" si="37"/>
        <v>5.8641939221572638E-6</v>
      </c>
      <c r="M217" t="s">
        <v>132</v>
      </c>
      <c r="N217">
        <v>5004.2</v>
      </c>
      <c r="O217">
        <f>(N217*1000)/(24*60*60)</f>
        <v>57.918981481481481</v>
      </c>
      <c r="P217">
        <v>0.56000000000000005</v>
      </c>
      <c r="Q217">
        <v>8.8999999999999995E-6</v>
      </c>
      <c r="R217">
        <f t="shared" si="39"/>
        <v>0.66488626700680264</v>
      </c>
      <c r="S217">
        <f>P217*R217</f>
        <v>0.37233630952380953</v>
      </c>
      <c r="U217">
        <f>Q217*R217</f>
        <v>5.9174877763605432E-6</v>
      </c>
    </row>
    <row r="218" spans="2:21">
      <c r="B218" t="s">
        <v>29</v>
      </c>
      <c r="C218">
        <v>68.400000000000006</v>
      </c>
      <c r="D218">
        <f t="shared" si="35"/>
        <v>0.79166666666666663</v>
      </c>
      <c r="E218">
        <v>12.22</v>
      </c>
      <c r="F218">
        <v>1.5E-5</v>
      </c>
      <c r="G218">
        <f t="shared" si="38"/>
        <v>9.0061621109179951E-3</v>
      </c>
      <c r="H218">
        <f t="shared" si="36"/>
        <v>0.11005530099541791</v>
      </c>
      <c r="J218">
        <f t="shared" si="37"/>
        <v>1.3509243166376994E-7</v>
      </c>
    </row>
    <row r="219" spans="2:21">
      <c r="B219" t="s">
        <v>19</v>
      </c>
      <c r="C219">
        <v>594.70000000000005</v>
      </c>
      <c r="D219">
        <f t="shared" si="35"/>
        <v>6.8831018518518521</v>
      </c>
      <c r="E219">
        <v>5</v>
      </c>
      <c r="F219">
        <v>1.2999999999999999E-5</v>
      </c>
      <c r="G219">
        <f t="shared" si="38"/>
        <v>7.8303576131037014E-2</v>
      </c>
      <c r="H219">
        <f t="shared" si="36"/>
        <v>0.39151788065518506</v>
      </c>
      <c r="J219">
        <f t="shared" si="37"/>
        <v>1.0179464897034812E-6</v>
      </c>
      <c r="M219" t="s">
        <v>19</v>
      </c>
      <c r="N219">
        <v>594.70000000000005</v>
      </c>
      <c r="O219">
        <f>(N219*1000)/(24*60*60)</f>
        <v>6.8831018518518521</v>
      </c>
      <c r="P219">
        <v>5</v>
      </c>
      <c r="Q219">
        <v>1.2999999999999999E-5</v>
      </c>
      <c r="R219">
        <f t="shared" si="39"/>
        <v>7.9015199829931979E-2</v>
      </c>
      <c r="S219">
        <f>P219*R219</f>
        <v>0.39507599914965991</v>
      </c>
      <c r="U219">
        <f>Q219*R219</f>
        <v>1.0271975977891158E-6</v>
      </c>
    </row>
    <row r="221" spans="2:21">
      <c r="C221" s="33"/>
      <c r="D221" s="33"/>
      <c r="E221" s="33"/>
      <c r="F221" s="33"/>
      <c r="G221" s="33"/>
      <c r="N221" s="33"/>
      <c r="O221" s="33"/>
      <c r="P221" s="33"/>
      <c r="Q221" s="33"/>
      <c r="R221" s="33"/>
    </row>
    <row r="222" spans="2:21">
      <c r="C222" s="31" t="s">
        <v>92</v>
      </c>
      <c r="D222" s="31">
        <f>SUM(D213:D219)</f>
        <v>87.902777777777786</v>
      </c>
      <c r="E222" s="31">
        <f>SUM(H213:H219)</f>
        <v>2.8770385000263334</v>
      </c>
      <c r="F222" s="31">
        <f>SUM(J213:J219)</f>
        <v>1.1590859535471634E-5</v>
      </c>
      <c r="G222" s="31">
        <f>SUM(G213:G219)</f>
        <v>0.99999999999999978</v>
      </c>
      <c r="H222" t="s">
        <v>152</v>
      </c>
      <c r="J222">
        <f>D222*C209*D208/D207</f>
        <v>0.31243717807196925</v>
      </c>
      <c r="N222" s="31" t="s">
        <v>92</v>
      </c>
      <c r="O222" s="31">
        <f>SUM(O213:O219)-O218</f>
        <v>87.111111111111114</v>
      </c>
      <c r="P222" s="31">
        <f>SUM(S213:S219)-S218</f>
        <v>2.7921295705782314</v>
      </c>
      <c r="Q222" s="31">
        <f>SUM(U213:U219)-R218</f>
        <v>1.1559877232142857E-5</v>
      </c>
      <c r="R222" s="31">
        <f>SUM(R213:R219)-R218</f>
        <v>1</v>
      </c>
      <c r="S222" t="s">
        <v>152</v>
      </c>
      <c r="U222">
        <f>O222*N209*O208/O207</f>
        <v>0.30962331819677524</v>
      </c>
    </row>
    <row r="224" spans="2:21">
      <c r="B224" t="s">
        <v>95</v>
      </c>
      <c r="C224">
        <v>6</v>
      </c>
      <c r="D224">
        <f>J222/D225</f>
        <v>4.2819628977339503</v>
      </c>
      <c r="F224" t="s">
        <v>96</v>
      </c>
      <c r="G224">
        <f>E222*D224*D226/F222</f>
        <v>323957.39145902015</v>
      </c>
      <c r="H224" s="21" t="s">
        <v>165</v>
      </c>
      <c r="I224" s="21"/>
      <c r="J224" s="21"/>
      <c r="M224" t="s">
        <v>95</v>
      </c>
      <c r="N224">
        <v>6</v>
      </c>
      <c r="O224">
        <f>U222/O225</f>
        <v>4.2433988457240206</v>
      </c>
      <c r="Q224" t="s">
        <v>96</v>
      </c>
      <c r="R224">
        <f>P222*O224*O226/Q222</f>
        <v>312400.09903693246</v>
      </c>
      <c r="S224" s="21" t="s">
        <v>165</v>
      </c>
      <c r="T224" s="21"/>
      <c r="U224" s="21"/>
    </row>
    <row r="225" spans="2:21">
      <c r="B225" t="s">
        <v>147</v>
      </c>
      <c r="C225">
        <f>J222/C224</f>
        <v>5.2072863011994874E-2</v>
      </c>
      <c r="D225">
        <f>PI()*D226*D226/4</f>
        <v>7.2965876990039674E-2</v>
      </c>
      <c r="F225" t="s">
        <v>99</v>
      </c>
      <c r="G225">
        <v>3.3E-3</v>
      </c>
      <c r="H225" s="21" t="s">
        <v>167</v>
      </c>
      <c r="I225" s="21"/>
      <c r="J225" s="21"/>
      <c r="M225" t="s">
        <v>147</v>
      </c>
      <c r="N225">
        <f>U222/N224</f>
        <v>5.1603886366129205E-2</v>
      </c>
      <c r="O225">
        <f>PI()*O226*O226/4</f>
        <v>7.2965876990039674E-2</v>
      </c>
      <c r="Q225" t="s">
        <v>99</v>
      </c>
      <c r="R225">
        <v>3.3500000000000001E-3</v>
      </c>
      <c r="S225" s="21" t="s">
        <v>167</v>
      </c>
      <c r="T225" s="21"/>
      <c r="U225" s="21"/>
    </row>
    <row r="226" spans="2:21">
      <c r="B226" t="s">
        <v>101</v>
      </c>
      <c r="C226">
        <f>((4*C225)/PI())^0.5</f>
        <v>0.25749024912498891</v>
      </c>
      <c r="D226">
        <f>D227/1000</f>
        <v>0.30480000000000002</v>
      </c>
      <c r="F226" t="s">
        <v>102</v>
      </c>
      <c r="G226">
        <v>10</v>
      </c>
      <c r="H226" s="21" t="s">
        <v>94</v>
      </c>
      <c r="I226" s="21"/>
      <c r="J226" s="21">
        <f>D227</f>
        <v>304.8</v>
      </c>
      <c r="M226" t="s">
        <v>101</v>
      </c>
      <c r="N226">
        <f>((4*N225)/PI())^0.5</f>
        <v>0.25632812717954973</v>
      </c>
      <c r="O226">
        <f>O227/1000</f>
        <v>0.30480000000000002</v>
      </c>
      <c r="Q226" t="s">
        <v>102</v>
      </c>
      <c r="R226">
        <v>10</v>
      </c>
      <c r="S226" s="21" t="s">
        <v>94</v>
      </c>
      <c r="T226" s="21"/>
      <c r="U226" s="21">
        <f>O227</f>
        <v>304.8</v>
      </c>
    </row>
    <row r="227" spans="2:21">
      <c r="B227" t="s">
        <v>104</v>
      </c>
      <c r="C227">
        <f>C226*1000</f>
        <v>257.49024912498891</v>
      </c>
      <c r="D227">
        <v>304.8</v>
      </c>
      <c r="F227" t="s">
        <v>105</v>
      </c>
      <c r="G227">
        <f>G225*G226*E222*D224*D224/(2*D226)</f>
        <v>2.8556202627878102</v>
      </c>
      <c r="H227" s="21" t="s">
        <v>95</v>
      </c>
      <c r="I227" s="21"/>
      <c r="J227" s="21">
        <f>D224</f>
        <v>4.2819628977339503</v>
      </c>
      <c r="M227" t="s">
        <v>104</v>
      </c>
      <c r="N227">
        <f>N226*1000</f>
        <v>256.32812717954971</v>
      </c>
      <c r="O227">
        <v>304.8</v>
      </c>
      <c r="Q227" t="s">
        <v>105</v>
      </c>
      <c r="R227">
        <f>R225*R226*P222*O224*O224/(2*O226)</f>
        <v>2.7628870108095529</v>
      </c>
      <c r="S227" s="21" t="s">
        <v>95</v>
      </c>
      <c r="T227" s="21"/>
      <c r="U227" s="21">
        <f>O224</f>
        <v>4.2433988457240206</v>
      </c>
    </row>
    <row r="228" spans="2:21">
      <c r="B228" t="s">
        <v>107</v>
      </c>
      <c r="C228">
        <f>C227/25.4</f>
        <v>10.13741138287358</v>
      </c>
      <c r="D228">
        <f>D227/25.4</f>
        <v>12.000000000000002</v>
      </c>
      <c r="H228" s="21" t="s">
        <v>97</v>
      </c>
      <c r="I228" s="21"/>
      <c r="J228" s="21">
        <f>(J229-J226)/2</f>
        <v>9.5499999999999829</v>
      </c>
      <c r="M228" t="s">
        <v>107</v>
      </c>
      <c r="N228">
        <f>N227/25.4</f>
        <v>10.091658550375973</v>
      </c>
      <c r="O228">
        <f>O227/25.4</f>
        <v>12.000000000000002</v>
      </c>
      <c r="S228" s="21" t="s">
        <v>97</v>
      </c>
      <c r="T228" s="21"/>
      <c r="U228" s="21">
        <f>(U229-U226)/2</f>
        <v>9.5499999999999829</v>
      </c>
    </row>
    <row r="229" spans="2:21">
      <c r="H229" s="21" t="s">
        <v>100</v>
      </c>
      <c r="I229" s="21"/>
      <c r="J229" s="21">
        <v>323.89999999999998</v>
      </c>
      <c r="S229" s="21" t="s">
        <v>100</v>
      </c>
      <c r="T229" s="21"/>
      <c r="U229" s="21">
        <v>323.89999999999998</v>
      </c>
    </row>
    <row r="230" spans="2:21">
      <c r="H230" s="21" t="s">
        <v>103</v>
      </c>
      <c r="I230" s="21"/>
      <c r="J230" s="21">
        <f>G225</f>
        <v>3.3E-3</v>
      </c>
      <c r="S230" s="21" t="s">
        <v>103</v>
      </c>
      <c r="T230" s="21"/>
      <c r="U230" s="21">
        <f>R225</f>
        <v>3.3500000000000001E-3</v>
      </c>
    </row>
    <row r="231" spans="2:21">
      <c r="H231" s="21" t="s">
        <v>106</v>
      </c>
      <c r="I231" s="21"/>
      <c r="J231" s="21">
        <f>G227/(1.01321*10^5)</f>
        <v>2.8183893396115419E-5</v>
      </c>
      <c r="S231" s="21" t="s">
        <v>106</v>
      </c>
      <c r="T231" s="21"/>
      <c r="U231" s="21">
        <f>R227/(1.01321*10^5)</f>
        <v>2.7268651225407889E-5</v>
      </c>
    </row>
    <row r="232" spans="2:21">
      <c r="H232" s="21"/>
      <c r="I232" s="21"/>
      <c r="J232" s="21"/>
      <c r="S232" s="21"/>
      <c r="T232" s="21"/>
      <c r="U232" s="21"/>
    </row>
    <row r="233" spans="2:21">
      <c r="H233" s="21" t="s">
        <v>110</v>
      </c>
      <c r="I233" s="21"/>
      <c r="J233" s="21">
        <f>G226</f>
        <v>10</v>
      </c>
      <c r="S233" s="21" t="s">
        <v>110</v>
      </c>
      <c r="T233" s="21"/>
      <c r="U233" s="21">
        <f>R226</f>
        <v>10</v>
      </c>
    </row>
    <row r="236" spans="2:21">
      <c r="B236" s="23" t="s">
        <v>172</v>
      </c>
      <c r="M236" s="23" t="s">
        <v>173</v>
      </c>
    </row>
    <row r="237" spans="2:21">
      <c r="B237" s="32" t="s">
        <v>174</v>
      </c>
      <c r="M237" s="32" t="s">
        <v>9</v>
      </c>
    </row>
    <row r="238" spans="2:21">
      <c r="B238" t="s">
        <v>84</v>
      </c>
      <c r="C238">
        <v>7</v>
      </c>
      <c r="D238">
        <f>C238*1.013*10^5</f>
        <v>709099.99999999988</v>
      </c>
      <c r="M238" t="s">
        <v>84</v>
      </c>
      <c r="N238">
        <v>200</v>
      </c>
      <c r="O238">
        <f>N238*1.013*10^5</f>
        <v>20259999.999999996</v>
      </c>
    </row>
    <row r="239" spans="2:21">
      <c r="B239" t="s">
        <v>44</v>
      </c>
      <c r="C239">
        <v>30</v>
      </c>
      <c r="D239">
        <f>C239+273.15</f>
        <v>303.14999999999998</v>
      </c>
      <c r="M239" t="s">
        <v>44</v>
      </c>
      <c r="N239">
        <v>516.87</v>
      </c>
      <c r="O239">
        <f>N239+273.15</f>
        <v>790.02</v>
      </c>
    </row>
    <row r="240" spans="2:21">
      <c r="B240" t="s">
        <v>47</v>
      </c>
      <c r="C240">
        <v>8.3140000000000001</v>
      </c>
      <c r="D240">
        <f>C240</f>
        <v>8.3140000000000001</v>
      </c>
      <c r="M240" t="s">
        <v>47</v>
      </c>
      <c r="N240">
        <v>8.3140000000000001</v>
      </c>
      <c r="O240">
        <f>N240</f>
        <v>8.3140000000000001</v>
      </c>
    </row>
    <row r="243" spans="2:21">
      <c r="C243" t="s">
        <v>85</v>
      </c>
      <c r="D243" t="s">
        <v>86</v>
      </c>
      <c r="E243" t="s">
        <v>87</v>
      </c>
      <c r="F243" t="s">
        <v>88</v>
      </c>
      <c r="G243" t="s">
        <v>89</v>
      </c>
      <c r="N243" t="s">
        <v>85</v>
      </c>
      <c r="O243" t="s">
        <v>86</v>
      </c>
      <c r="P243" t="s">
        <v>87</v>
      </c>
      <c r="Q243" t="s">
        <v>88</v>
      </c>
      <c r="R243" t="s">
        <v>89</v>
      </c>
    </row>
    <row r="244" spans="2:21">
      <c r="B244" t="s">
        <v>25</v>
      </c>
      <c r="C244">
        <v>217.2</v>
      </c>
      <c r="D244">
        <f>(C244*1000)/(24*60*60)</f>
        <v>2.5138888888888888</v>
      </c>
      <c r="E244">
        <v>8.89</v>
      </c>
      <c r="F244">
        <v>2.0000000000000002E-5</v>
      </c>
      <c r="G244">
        <f>D244/$D$253</f>
        <v>0.26083823706016573</v>
      </c>
      <c r="H244">
        <f>E244*G244</f>
        <v>2.3188519274648733</v>
      </c>
      <c r="J244">
        <f t="shared" ref="J244:J250" si="40">F244*G244</f>
        <v>5.2167647412033155E-6</v>
      </c>
      <c r="M244" t="s">
        <v>20</v>
      </c>
      <c r="O244">
        <f>(N244*1000)/(24*60*60)</f>
        <v>0</v>
      </c>
      <c r="P244">
        <v>7.78</v>
      </c>
      <c r="Q244">
        <v>1.7799999999999999E-5</v>
      </c>
      <c r="R244">
        <f>O244/$O$253</f>
        <v>0</v>
      </c>
      <c r="S244">
        <f>P244*R244</f>
        <v>0</v>
      </c>
      <c r="U244">
        <f t="shared" ref="U244:U250" si="41">Q244*R244</f>
        <v>0</v>
      </c>
    </row>
    <row r="245" spans="2:21">
      <c r="B245" t="s">
        <v>79</v>
      </c>
      <c r="C245">
        <v>594.70000000000005</v>
      </c>
      <c r="D245">
        <f>(C245*1000)/(24*60*60)</f>
        <v>6.8831018518518521</v>
      </c>
      <c r="E245">
        <v>5</v>
      </c>
      <c r="F245">
        <v>1.2999999999999999E-5</v>
      </c>
      <c r="G245">
        <f t="shared" ref="G245:G246" si="42">D245/$D$253</f>
        <v>0.71418277891197313</v>
      </c>
      <c r="H245">
        <f>E245*G245</f>
        <v>3.5709138945598657</v>
      </c>
      <c r="J245">
        <f t="shared" si="40"/>
        <v>9.2843761258556499E-6</v>
      </c>
      <c r="M245" t="s">
        <v>143</v>
      </c>
      <c r="N245">
        <v>21.4</v>
      </c>
      <c r="O245">
        <f>(N245*1000)/(24*60*60)</f>
        <v>0.24768518518518517</v>
      </c>
      <c r="P245">
        <v>11.11</v>
      </c>
      <c r="Q245">
        <v>2.1999999999999999E-5</v>
      </c>
      <c r="R245">
        <f t="shared" ref="R245:R246" si="43">O245/$O$253</f>
        <v>4.2581980261063353E-3</v>
      </c>
      <c r="S245">
        <f>P245*R245</f>
        <v>4.7308580070041385E-2</v>
      </c>
      <c r="U245">
        <f t="shared" si="41"/>
        <v>9.3680356574339369E-8</v>
      </c>
    </row>
    <row r="246" spans="2:21">
      <c r="B246" t="s">
        <v>18</v>
      </c>
      <c r="C246">
        <v>20.8</v>
      </c>
      <c r="D246">
        <f>(C246*1000)/(24*60*60)</f>
        <v>0.24074074074074073</v>
      </c>
      <c r="E246">
        <v>4.4400000000000004</v>
      </c>
      <c r="F246">
        <v>1.1E-5</v>
      </c>
      <c r="G246">
        <f t="shared" si="42"/>
        <v>2.4978984027861174E-2</v>
      </c>
      <c r="H246">
        <f>E246*G246</f>
        <v>0.11090668908370363</v>
      </c>
      <c r="J246">
        <f t="shared" si="40"/>
        <v>2.7476882430647292E-7</v>
      </c>
      <c r="M246" t="s">
        <v>26</v>
      </c>
      <c r="N246">
        <v>5004.2</v>
      </c>
      <c r="O246">
        <f>(N246*1000)/(24*60*60)</f>
        <v>57.918981481481481</v>
      </c>
      <c r="P246">
        <v>0.56000000000000005</v>
      </c>
      <c r="Q246">
        <v>8.8999999999999995E-6</v>
      </c>
      <c r="R246">
        <f t="shared" si="43"/>
        <v>0.99574180197389373</v>
      </c>
      <c r="S246">
        <f>P246*R246</f>
        <v>0.55761540910538054</v>
      </c>
      <c r="U246">
        <f t="shared" si="41"/>
        <v>8.8621020375676543E-6</v>
      </c>
    </row>
    <row r="247" spans="2:21">
      <c r="J247">
        <f t="shared" si="40"/>
        <v>0</v>
      </c>
      <c r="U247">
        <f t="shared" si="41"/>
        <v>0</v>
      </c>
    </row>
    <row r="248" spans="2:21">
      <c r="J248">
        <f t="shared" si="40"/>
        <v>0</v>
      </c>
      <c r="U248">
        <f t="shared" si="41"/>
        <v>0</v>
      </c>
    </row>
    <row r="249" spans="2:21">
      <c r="J249">
        <f t="shared" si="40"/>
        <v>0</v>
      </c>
      <c r="U249">
        <f t="shared" si="41"/>
        <v>0</v>
      </c>
    </row>
    <row r="250" spans="2:21">
      <c r="J250">
        <f t="shared" si="40"/>
        <v>0</v>
      </c>
      <c r="U250">
        <f t="shared" si="41"/>
        <v>0</v>
      </c>
    </row>
    <row r="252" spans="2:21">
      <c r="C252" s="33"/>
      <c r="D252" s="33"/>
      <c r="E252" s="33"/>
      <c r="F252" s="33"/>
      <c r="G252" s="33"/>
      <c r="N252" s="33"/>
      <c r="O252" s="33"/>
      <c r="P252" s="33"/>
      <c r="Q252" s="33"/>
      <c r="R252" s="33"/>
    </row>
    <row r="253" spans="2:21">
      <c r="C253" s="31" t="s">
        <v>92</v>
      </c>
      <c r="D253" s="31">
        <f>SUM(D244:D246)</f>
        <v>9.637731481481481</v>
      </c>
      <c r="E253" s="31">
        <f>SUM(H244:H246)</f>
        <v>6.0006725111084425</v>
      </c>
      <c r="F253" s="31">
        <f>SUM(J244:J246)</f>
        <v>1.4775909691365439E-5</v>
      </c>
      <c r="G253" s="31">
        <f>SUM(G244:G246)</f>
        <v>1</v>
      </c>
      <c r="H253" t="s">
        <v>152</v>
      </c>
      <c r="J253">
        <f>D253*C240*D239/D238</f>
        <v>3.4255864299327005E-2</v>
      </c>
      <c r="N253" s="31" t="s">
        <v>92</v>
      </c>
      <c r="O253" s="31">
        <f>SUM(O244:O246)</f>
        <v>58.166666666666664</v>
      </c>
      <c r="P253" s="31">
        <f>SUM(S244:S246)</f>
        <v>0.60492398917542189</v>
      </c>
      <c r="Q253" s="31">
        <f>SUM(U244:U246)</f>
        <v>8.9557823941419934E-6</v>
      </c>
      <c r="R253" s="31">
        <f>SUM(R244:R246)</f>
        <v>1</v>
      </c>
      <c r="S253" t="s">
        <v>152</v>
      </c>
      <c r="U253">
        <f>O253*N240*O239/O238</f>
        <v>1.8857444650542943E-2</v>
      </c>
    </row>
    <row r="255" spans="2:21">
      <c r="B255" t="s">
        <v>95</v>
      </c>
      <c r="C255">
        <v>6</v>
      </c>
      <c r="D255">
        <f>J253/D256</f>
        <v>5.3846816129610655</v>
      </c>
      <c r="F255" t="s">
        <v>96</v>
      </c>
      <c r="G255">
        <f>E253*D255*D257/F253</f>
        <v>196810.48713612268</v>
      </c>
      <c r="H255" s="21" t="s">
        <v>175</v>
      </c>
      <c r="I255" s="21"/>
      <c r="J255" s="21"/>
      <c r="M255" t="s">
        <v>95</v>
      </c>
      <c r="N255">
        <v>6</v>
      </c>
      <c r="O255">
        <f>U253/O256</f>
        <v>0.38416070786761325</v>
      </c>
      <c r="Q255" t="s">
        <v>96</v>
      </c>
      <c r="R255">
        <f>P253*O255*O257/Q253</f>
        <v>6487.0945289977199</v>
      </c>
      <c r="S255" s="21" t="s">
        <v>176</v>
      </c>
      <c r="T255" s="21"/>
      <c r="U255" s="21"/>
    </row>
    <row r="256" spans="2:21">
      <c r="B256" t="s">
        <v>147</v>
      </c>
      <c r="C256">
        <f>J253/C255</f>
        <v>5.7093107165545011E-3</v>
      </c>
      <c r="D256">
        <f>PI()*D257*D257/4</f>
        <v>6.3617251235193314E-3</v>
      </c>
      <c r="F256" t="s">
        <v>99</v>
      </c>
      <c r="G256">
        <v>1.8499999999999999E-2</v>
      </c>
      <c r="H256" s="21" t="s">
        <v>177</v>
      </c>
      <c r="I256" s="21"/>
      <c r="J256" s="21"/>
      <c r="M256" t="s">
        <v>147</v>
      </c>
      <c r="N256">
        <f>U253/N255</f>
        <v>3.1429074417571572E-3</v>
      </c>
      <c r="O256">
        <f>PI()*O257*O257/4</f>
        <v>4.9087385212340517E-2</v>
      </c>
      <c r="Q256" t="s">
        <v>99</v>
      </c>
      <c r="R256">
        <v>1.8499999999999999E-2</v>
      </c>
      <c r="S256" s="21" t="s">
        <v>135</v>
      </c>
      <c r="T256" s="21"/>
      <c r="U256" s="21"/>
    </row>
    <row r="257" spans="2:21">
      <c r="B257" t="s">
        <v>101</v>
      </c>
      <c r="C257">
        <f>((4*C256)/PI())^0.5</f>
        <v>8.526030833569298E-2</v>
      </c>
      <c r="D257">
        <f>D258/1000</f>
        <v>0.09</v>
      </c>
      <c r="F257" t="s">
        <v>102</v>
      </c>
      <c r="G257">
        <v>4</v>
      </c>
      <c r="H257" s="21" t="s">
        <v>94</v>
      </c>
      <c r="I257" s="21"/>
      <c r="J257" s="21">
        <f>D258</f>
        <v>90</v>
      </c>
      <c r="M257" t="s">
        <v>101</v>
      </c>
      <c r="N257">
        <f>((4*N256)/PI())^0.5</f>
        <v>6.3258786269479103E-2</v>
      </c>
      <c r="O257">
        <f>O258/1000</f>
        <v>0.25</v>
      </c>
      <c r="Q257" t="s">
        <v>102</v>
      </c>
      <c r="R257">
        <v>7</v>
      </c>
      <c r="S257" s="21" t="s">
        <v>94</v>
      </c>
      <c r="T257" s="21"/>
      <c r="U257" s="21">
        <f>O258</f>
        <v>250</v>
      </c>
    </row>
    <row r="258" spans="2:21">
      <c r="B258" t="s">
        <v>104</v>
      </c>
      <c r="C258">
        <f>C257*1000</f>
        <v>85.260308335692983</v>
      </c>
      <c r="D258">
        <v>90</v>
      </c>
      <c r="F258" t="s">
        <v>105</v>
      </c>
      <c r="G258">
        <f>G256*G257*E253*D255*D255/(2*D257)</f>
        <v>71.528513368087147</v>
      </c>
      <c r="H258" s="21" t="s">
        <v>95</v>
      </c>
      <c r="I258" s="21"/>
      <c r="J258" s="21">
        <f>D255</f>
        <v>5.3846816129610655</v>
      </c>
      <c r="M258" t="s">
        <v>104</v>
      </c>
      <c r="N258">
        <f>N257*1000</f>
        <v>63.258786269479103</v>
      </c>
      <c r="O258">
        <v>250</v>
      </c>
      <c r="Q258" t="s">
        <v>105</v>
      </c>
      <c r="R258">
        <f>R256*R257*P253*O255*O255/(2*O257)</f>
        <v>2.3122056466967082E-2</v>
      </c>
      <c r="S258" s="21" t="s">
        <v>95</v>
      </c>
      <c r="T258" s="21"/>
      <c r="U258" s="21">
        <f>O255</f>
        <v>0.38416070786761325</v>
      </c>
    </row>
    <row r="259" spans="2:21">
      <c r="B259" t="s">
        <v>107</v>
      </c>
      <c r="C259">
        <f>C258/25.4</f>
        <v>3.3567050525863382</v>
      </c>
      <c r="D259">
        <f>D258/25.4</f>
        <v>3.5433070866141736</v>
      </c>
      <c r="H259" s="21" t="s">
        <v>97</v>
      </c>
      <c r="I259" s="21"/>
      <c r="J259" s="21">
        <f>(J260-J257)/2</f>
        <v>5.7999999999999972</v>
      </c>
      <c r="M259" t="s">
        <v>107</v>
      </c>
      <c r="N259">
        <f>N258/25.4</f>
        <v>2.4905033964361851</v>
      </c>
      <c r="O259">
        <f>O258/25.4</f>
        <v>9.8425196850393704</v>
      </c>
      <c r="S259" s="21" t="s">
        <v>97</v>
      </c>
      <c r="T259" s="21"/>
      <c r="U259" s="21">
        <f>(U260-U257)/2</f>
        <v>11.525000000000006</v>
      </c>
    </row>
    <row r="260" spans="2:21">
      <c r="H260" s="21" t="s">
        <v>100</v>
      </c>
      <c r="I260" s="21"/>
      <c r="J260" s="21">
        <v>101.6</v>
      </c>
      <c r="S260" s="21" t="s">
        <v>100</v>
      </c>
      <c r="T260" s="21"/>
      <c r="U260" s="21">
        <v>273.05</v>
      </c>
    </row>
    <row r="261" spans="2:21">
      <c r="H261" s="21" t="s">
        <v>103</v>
      </c>
      <c r="I261" s="21"/>
      <c r="J261" s="21">
        <f>G256</f>
        <v>1.8499999999999999E-2</v>
      </c>
      <c r="S261" s="21" t="s">
        <v>103</v>
      </c>
      <c r="T261" s="21"/>
      <c r="U261" s="21">
        <f>R256</f>
        <v>1.8499999999999999E-2</v>
      </c>
    </row>
    <row r="262" spans="2:21">
      <c r="H262" s="21" t="s">
        <v>106</v>
      </c>
      <c r="I262" s="21"/>
      <c r="J262" s="21">
        <f>G258/(1.01321*10^5)</f>
        <v>7.0595940987640412E-4</v>
      </c>
      <c r="S262" s="21" t="s">
        <v>106</v>
      </c>
      <c r="T262" s="21"/>
      <c r="U262" s="21">
        <f>R258/(1.01321*10^5)</f>
        <v>2.2820596388672716E-7</v>
      </c>
    </row>
    <row r="263" spans="2:21">
      <c r="H263" s="21"/>
      <c r="I263" s="21"/>
      <c r="J263" s="21"/>
      <c r="S263" s="21"/>
      <c r="T263" s="21"/>
      <c r="U263" s="21"/>
    </row>
    <row r="264" spans="2:21">
      <c r="H264" s="21" t="s">
        <v>110</v>
      </c>
      <c r="I264" s="21"/>
      <c r="J264" s="21">
        <f>G257</f>
        <v>4</v>
      </c>
      <c r="S264" s="21" t="s">
        <v>110</v>
      </c>
      <c r="T264" s="21"/>
      <c r="U264" s="21">
        <f>R257</f>
        <v>7</v>
      </c>
    </row>
    <row r="266" spans="2:21">
      <c r="B266" s="23" t="s">
        <v>178</v>
      </c>
      <c r="M266" s="23" t="s">
        <v>179</v>
      </c>
    </row>
    <row r="267" spans="2:21">
      <c r="B267" s="32" t="s">
        <v>180</v>
      </c>
      <c r="M267" s="32" t="s">
        <v>60</v>
      </c>
    </row>
    <row r="268" spans="2:21">
      <c r="B268" t="s">
        <v>84</v>
      </c>
      <c r="C268">
        <v>200</v>
      </c>
      <c r="D268">
        <f>C268*1.013*10^5</f>
        <v>20259999.999999996</v>
      </c>
      <c r="M268" t="s">
        <v>84</v>
      </c>
      <c r="N268">
        <v>200</v>
      </c>
      <c r="O268">
        <f>N268*1.013*10^5</f>
        <v>20259999.999999996</v>
      </c>
    </row>
    <row r="269" spans="2:21">
      <c r="B269" t="s">
        <v>44</v>
      </c>
      <c r="C269">
        <v>450</v>
      </c>
      <c r="D269">
        <f>C269+273.15</f>
        <v>723.15</v>
      </c>
      <c r="M269" t="s">
        <v>44</v>
      </c>
      <c r="N269">
        <v>-20</v>
      </c>
      <c r="O269">
        <f>N269+273.15</f>
        <v>253.14999999999998</v>
      </c>
    </row>
    <row r="270" spans="2:21">
      <c r="B270" t="s">
        <v>47</v>
      </c>
      <c r="C270">
        <v>8.3140000000000001</v>
      </c>
      <c r="D270">
        <f>C270</f>
        <v>8.3140000000000001</v>
      </c>
      <c r="M270" t="s">
        <v>47</v>
      </c>
      <c r="N270">
        <v>8.3140000000000001</v>
      </c>
      <c r="O270">
        <f>N270</f>
        <v>8.3140000000000001</v>
      </c>
    </row>
    <row r="273" spans="2:21">
      <c r="C273" t="s">
        <v>85</v>
      </c>
      <c r="D273" t="s">
        <v>86</v>
      </c>
      <c r="E273" t="s">
        <v>87</v>
      </c>
      <c r="F273" t="s">
        <v>88</v>
      </c>
      <c r="G273" t="s">
        <v>89</v>
      </c>
      <c r="N273" t="s">
        <v>85</v>
      </c>
      <c r="O273" t="s">
        <v>86</v>
      </c>
      <c r="P273" t="s">
        <v>87</v>
      </c>
      <c r="Q273" t="s">
        <v>88</v>
      </c>
      <c r="R273" t="s">
        <v>89</v>
      </c>
    </row>
    <row r="274" spans="2:21">
      <c r="B274" t="s">
        <v>20</v>
      </c>
      <c r="C274">
        <v>217.2</v>
      </c>
      <c r="D274">
        <f>(C274*1000)/(24*60*60)</f>
        <v>2.5138888888888888</v>
      </c>
      <c r="E274">
        <v>220</v>
      </c>
      <c r="F274">
        <f>1.8*10^-5</f>
        <v>1.8E-5</v>
      </c>
      <c r="G274">
        <f>D274/$D$283</f>
        <v>0.26083823706016573</v>
      </c>
      <c r="H274">
        <f>E274*G274</f>
        <v>57.384412153236461</v>
      </c>
      <c r="J274">
        <f t="shared" ref="J274:J280" si="44">F274*G274</f>
        <v>4.695088267082983E-6</v>
      </c>
      <c r="M274" t="s">
        <v>20</v>
      </c>
      <c r="N274">
        <v>217.2</v>
      </c>
      <c r="O274">
        <f>(N274*1000)/(24*60*60)</f>
        <v>2.5138888888888888</v>
      </c>
      <c r="P274">
        <v>28</v>
      </c>
      <c r="Q274">
        <f>4.1*10^-5</f>
        <v>4.1E-5</v>
      </c>
      <c r="R274">
        <f>O274/$O$283</f>
        <v>5.7553194308275261E-2</v>
      </c>
      <c r="S274">
        <f>P274*R274</f>
        <v>1.6114894406317073</v>
      </c>
      <c r="U274">
        <f t="shared" ref="U274:U280" si="45">Q274*R274</f>
        <v>2.3596809666392857E-6</v>
      </c>
    </row>
    <row r="275" spans="2:21">
      <c r="B275" t="s">
        <v>143</v>
      </c>
      <c r="C275">
        <v>594.70000000000005</v>
      </c>
      <c r="D275">
        <f>(C275*1000)/(24*60*60)</f>
        <v>6.8831018518518521</v>
      </c>
      <c r="E275">
        <v>320</v>
      </c>
      <c r="F275">
        <f>2.2*10^-5</f>
        <v>2.2000000000000003E-5</v>
      </c>
      <c r="G275">
        <f t="shared" ref="G275:G276" si="46">D275/$D$283</f>
        <v>0.71418277891197313</v>
      </c>
      <c r="H275">
        <f>E275*G275</f>
        <v>228.53848925183141</v>
      </c>
      <c r="J275">
        <f t="shared" si="44"/>
        <v>1.5712021136063411E-5</v>
      </c>
      <c r="M275" t="s">
        <v>143</v>
      </c>
      <c r="N275">
        <v>594.70000000000005</v>
      </c>
      <c r="O275">
        <f>(N275*1000)/(24*60*60)</f>
        <v>6.8831018518518521</v>
      </c>
      <c r="P275">
        <v>127</v>
      </c>
      <c r="Q275">
        <f>2.8*10^-5</f>
        <v>2.8E-5</v>
      </c>
      <c r="R275">
        <f t="shared" ref="R275:R276" si="47">O275/$O$283</f>
        <v>0.1575823418744535</v>
      </c>
      <c r="S275">
        <f>P275*R275</f>
        <v>20.012957418055596</v>
      </c>
      <c r="U275">
        <f t="shared" si="45"/>
        <v>4.4123055724846981E-6</v>
      </c>
    </row>
    <row r="276" spans="2:21">
      <c r="B276" t="s">
        <v>26</v>
      </c>
      <c r="C276">
        <v>20.8</v>
      </c>
      <c r="D276">
        <f>(C276*1000)/(24*60*60)</f>
        <v>0.24074074074074073</v>
      </c>
      <c r="E276">
        <v>16</v>
      </c>
      <c r="F276">
        <f>0.9*10^-5</f>
        <v>9.0000000000000002E-6</v>
      </c>
      <c r="G276">
        <f t="shared" si="46"/>
        <v>2.4978984027861174E-2</v>
      </c>
      <c r="H276">
        <f>E276*G276</f>
        <v>0.39966374444577879</v>
      </c>
      <c r="J276">
        <f t="shared" si="44"/>
        <v>2.2481085625075057E-7</v>
      </c>
      <c r="M276" t="s">
        <v>26</v>
      </c>
      <c r="N276">
        <v>20.8</v>
      </c>
      <c r="O276">
        <f>(N276*1000)/(24*60*60)</f>
        <v>0.24074074074074073</v>
      </c>
      <c r="P276">
        <v>2</v>
      </c>
      <c r="Q276">
        <f>1.9*10^-5</f>
        <v>1.9000000000000001E-5</v>
      </c>
      <c r="R276">
        <f t="shared" si="47"/>
        <v>5.5115397864278336E-3</v>
      </c>
      <c r="S276">
        <f>P276*R276</f>
        <v>1.1023079572855667E-2</v>
      </c>
      <c r="U276">
        <f t="shared" si="45"/>
        <v>1.0471925594212884E-7</v>
      </c>
    </row>
    <row r="277" spans="2:21">
      <c r="J277">
        <f t="shared" si="44"/>
        <v>0</v>
      </c>
      <c r="M277" t="s">
        <v>21</v>
      </c>
      <c r="N277">
        <v>2941.2</v>
      </c>
      <c r="O277">
        <f>(N277*1000)/(24*60*60)</f>
        <v>34.041666666666664</v>
      </c>
      <c r="P277">
        <v>7.4</v>
      </c>
      <c r="Q277">
        <f>3.3*10^-5</f>
        <v>3.3000000000000003E-5</v>
      </c>
      <c r="R277">
        <f>O277/$O$283</f>
        <v>0.77935292403084344</v>
      </c>
      <c r="S277">
        <f>P277*R277</f>
        <v>5.7672116378282414</v>
      </c>
      <c r="U277">
        <f t="shared" si="45"/>
        <v>2.5718646493017835E-5</v>
      </c>
    </row>
    <row r="278" spans="2:21">
      <c r="J278">
        <f t="shared" si="44"/>
        <v>0</v>
      </c>
      <c r="U278">
        <f t="shared" si="45"/>
        <v>0</v>
      </c>
    </row>
    <row r="279" spans="2:21">
      <c r="J279">
        <f t="shared" si="44"/>
        <v>0</v>
      </c>
      <c r="U279">
        <f t="shared" si="45"/>
        <v>0</v>
      </c>
    </row>
    <row r="280" spans="2:21">
      <c r="J280">
        <f t="shared" si="44"/>
        <v>0</v>
      </c>
      <c r="U280">
        <f t="shared" si="45"/>
        <v>0</v>
      </c>
    </row>
    <row r="282" spans="2:21">
      <c r="C282" s="33"/>
      <c r="D282" s="33"/>
      <c r="E282" s="33"/>
      <c r="F282" s="33"/>
      <c r="G282" s="33"/>
      <c r="N282" s="33"/>
      <c r="O282" s="33"/>
      <c r="P282" s="33"/>
      <c r="Q282" s="33"/>
      <c r="R282" s="33"/>
    </row>
    <row r="283" spans="2:21">
      <c r="C283" s="31" t="s">
        <v>92</v>
      </c>
      <c r="D283" s="31">
        <f>SUM(D274:D276)</f>
        <v>9.637731481481481</v>
      </c>
      <c r="E283" s="31">
        <f>SUM(H274:H276)</f>
        <v>286.32256514951365</v>
      </c>
      <c r="F283" s="31">
        <f>SUM(J274:J276)</f>
        <v>2.0631920259397145E-5</v>
      </c>
      <c r="G283" s="31">
        <f>SUM(G274:G276)</f>
        <v>1</v>
      </c>
      <c r="H283" t="s">
        <v>152</v>
      </c>
      <c r="J283">
        <f>D283*C270*D269/D268</f>
        <v>2.8600510947782991E-3</v>
      </c>
      <c r="N283" s="31" t="s">
        <v>92</v>
      </c>
      <c r="O283" s="31">
        <f>SUM(O274:O277)</f>
        <v>43.679398148148145</v>
      </c>
      <c r="P283" s="31">
        <f>SUM(S274:S277)</f>
        <v>27.402681576088398</v>
      </c>
      <c r="Q283" s="31">
        <f>SUM(U274:U277)</f>
        <v>3.2595352288083947E-5</v>
      </c>
      <c r="R283" s="31">
        <f>SUM(R274:R277)</f>
        <v>1</v>
      </c>
      <c r="S283" t="s">
        <v>152</v>
      </c>
      <c r="U283">
        <f>O283*N270*O269/O268</f>
        <v>4.5375890018246592E-3</v>
      </c>
    </row>
    <row r="285" spans="2:21">
      <c r="B285" t="s">
        <v>95</v>
      </c>
      <c r="C285">
        <v>4</v>
      </c>
      <c r="D285">
        <f>J283/D286</f>
        <v>9.1038253845870614</v>
      </c>
      <c r="F285" t="s">
        <v>96</v>
      </c>
      <c r="G285">
        <f>E283*D285*D287/F283</f>
        <v>2526794.0201552422</v>
      </c>
      <c r="H285" s="21" t="s">
        <v>175</v>
      </c>
      <c r="I285" s="21"/>
      <c r="J285" s="21"/>
      <c r="M285" t="s">
        <v>95</v>
      </c>
      <c r="N285">
        <v>3.5</v>
      </c>
      <c r="O285">
        <f>U283/O286</f>
        <v>0.90272464919976714</v>
      </c>
      <c r="Q285" t="s">
        <v>96</v>
      </c>
      <c r="R285">
        <f>P283*O285*O287/Q283</f>
        <v>60713.137000088405</v>
      </c>
      <c r="S285" s="21" t="s">
        <v>175</v>
      </c>
      <c r="T285" s="21"/>
      <c r="U285" s="21"/>
    </row>
    <row r="286" spans="2:21">
      <c r="B286" t="s">
        <v>147</v>
      </c>
      <c r="C286">
        <f>J283/C285</f>
        <v>7.1501277369457477E-4</v>
      </c>
      <c r="D286">
        <f>PI()*D287*D287/4</f>
        <v>3.1415926535897936E-4</v>
      </c>
      <c r="F286" t="s">
        <v>99</v>
      </c>
      <c r="G286">
        <v>1.2999999999999999E-2</v>
      </c>
      <c r="H286" s="21" t="s">
        <v>177</v>
      </c>
      <c r="I286" s="21"/>
      <c r="J286" s="21"/>
      <c r="M286" t="s">
        <v>147</v>
      </c>
      <c r="N286">
        <f>U283/N285</f>
        <v>1.2964540005213313E-3</v>
      </c>
      <c r="O286">
        <f>PI()*O287*O287/4</f>
        <v>5.0265482457436698E-3</v>
      </c>
      <c r="Q286" t="s">
        <v>99</v>
      </c>
      <c r="R286">
        <v>1.6E-2</v>
      </c>
      <c r="S286" s="21" t="s">
        <v>181</v>
      </c>
      <c r="T286" s="21"/>
      <c r="U286" s="21"/>
    </row>
    <row r="287" spans="2:21">
      <c r="B287" t="s">
        <v>101</v>
      </c>
      <c r="C287">
        <f>((4*C286)/PI())^0.5</f>
        <v>3.0172546105005894E-2</v>
      </c>
      <c r="D287">
        <f>D288/1000</f>
        <v>0.02</v>
      </c>
      <c r="F287" t="s">
        <v>102</v>
      </c>
      <c r="G287">
        <v>3</v>
      </c>
      <c r="H287" s="21" t="s">
        <v>94</v>
      </c>
      <c r="I287" s="21"/>
      <c r="J287" s="21">
        <f>D288</f>
        <v>20</v>
      </c>
      <c r="M287" t="s">
        <v>101</v>
      </c>
      <c r="N287">
        <f>((4*N286)/PI())^0.5</f>
        <v>4.062876445812573E-2</v>
      </c>
      <c r="O287">
        <f>O288/1000</f>
        <v>0.08</v>
      </c>
      <c r="Q287" t="s">
        <v>102</v>
      </c>
      <c r="R287">
        <v>4</v>
      </c>
      <c r="S287" s="21" t="s">
        <v>94</v>
      </c>
      <c r="T287" s="21"/>
      <c r="U287" s="21">
        <f>O288</f>
        <v>80</v>
      </c>
    </row>
    <row r="288" spans="2:21">
      <c r="B288" t="s">
        <v>104</v>
      </c>
      <c r="C288">
        <f>C287*1000</f>
        <v>30.172546105005896</v>
      </c>
      <c r="D288">
        <v>20</v>
      </c>
      <c r="F288" t="s">
        <v>105</v>
      </c>
      <c r="G288">
        <f>G286*G287*E283*D285*D285/(2*D287)</f>
        <v>23137.052405449103</v>
      </c>
      <c r="H288" s="21" t="s">
        <v>95</v>
      </c>
      <c r="I288" s="21"/>
      <c r="J288" s="21">
        <f>D285</f>
        <v>9.1038253845870614</v>
      </c>
      <c r="M288" t="s">
        <v>104</v>
      </c>
      <c r="N288">
        <f>N287*1000</f>
        <v>40.62876445812573</v>
      </c>
      <c r="O288">
        <v>80</v>
      </c>
      <c r="Q288" t="s">
        <v>105</v>
      </c>
      <c r="R288">
        <f>R286*R287*P283*O285*O285/(2*O287)</f>
        <v>8.932307342500879</v>
      </c>
      <c r="S288" s="21" t="s">
        <v>95</v>
      </c>
      <c r="T288" s="21"/>
      <c r="U288" s="21">
        <f>O285</f>
        <v>0.90272464919976714</v>
      </c>
    </row>
    <row r="289" spans="2:21">
      <c r="B289" t="s">
        <v>107</v>
      </c>
      <c r="C289">
        <f>C288/25.4</f>
        <v>1.1878955159451141</v>
      </c>
      <c r="D289">
        <f>D288/25.4</f>
        <v>0.78740157480314965</v>
      </c>
      <c r="H289" s="21" t="s">
        <v>97</v>
      </c>
      <c r="I289" s="21"/>
      <c r="J289" s="21">
        <f>(J290-J287)/2</f>
        <v>3.3350000000000009</v>
      </c>
      <c r="M289" t="s">
        <v>107</v>
      </c>
      <c r="N289">
        <f>N288/25.4</f>
        <v>1.5995576558317217</v>
      </c>
      <c r="O289">
        <f>O288/25.4</f>
        <v>3.1496062992125986</v>
      </c>
      <c r="S289" s="21" t="s">
        <v>97</v>
      </c>
      <c r="T289" s="21"/>
      <c r="U289" s="21">
        <f>(U290-U287)/2</f>
        <v>4.4500000000000028</v>
      </c>
    </row>
    <row r="290" spans="2:21">
      <c r="H290" s="21" t="s">
        <v>100</v>
      </c>
      <c r="I290" s="21"/>
      <c r="J290" s="21">
        <v>26.67</v>
      </c>
      <c r="S290" s="21" t="s">
        <v>100</v>
      </c>
      <c r="T290" s="21"/>
      <c r="U290" s="21">
        <v>88.9</v>
      </c>
    </row>
    <row r="291" spans="2:21">
      <c r="H291" s="21" t="s">
        <v>103</v>
      </c>
      <c r="I291" s="21"/>
      <c r="J291" s="21">
        <f>G286</f>
        <v>1.2999999999999999E-2</v>
      </c>
      <c r="S291" s="21" t="s">
        <v>103</v>
      </c>
      <c r="T291" s="21"/>
      <c r="U291" s="21">
        <f>R286</f>
        <v>1.6E-2</v>
      </c>
    </row>
    <row r="292" spans="2:21">
      <c r="H292" s="21" t="s">
        <v>106</v>
      </c>
      <c r="I292" s="21"/>
      <c r="J292" s="21">
        <f>G288/(1.01321*10^5)</f>
        <v>0.22835396813542211</v>
      </c>
      <c r="S292" s="21" t="s">
        <v>106</v>
      </c>
      <c r="T292" s="21"/>
      <c r="U292" s="21">
        <f>R288/(1.01321*10^5)</f>
        <v>8.8158499644702272E-5</v>
      </c>
    </row>
    <row r="293" spans="2:21">
      <c r="H293" s="21"/>
      <c r="I293" s="21"/>
      <c r="J293" s="21"/>
      <c r="S293" s="21"/>
      <c r="T293" s="21"/>
      <c r="U293" s="21"/>
    </row>
    <row r="294" spans="2:21">
      <c r="H294" s="21" t="s">
        <v>110</v>
      </c>
      <c r="I294" s="21"/>
      <c r="J294" s="21">
        <f>G287</f>
        <v>3</v>
      </c>
      <c r="S294" s="21" t="s">
        <v>110</v>
      </c>
      <c r="T294" s="21"/>
      <c r="U294" s="21">
        <f>R287</f>
        <v>4</v>
      </c>
    </row>
    <row r="297" spans="2:21">
      <c r="B297" s="23" t="s">
        <v>182</v>
      </c>
      <c r="M297" s="23" t="s">
        <v>183</v>
      </c>
    </row>
    <row r="298" spans="2:21">
      <c r="B298" s="32" t="s">
        <v>10</v>
      </c>
      <c r="M298" s="32" t="s">
        <v>11</v>
      </c>
    </row>
    <row r="299" spans="2:21">
      <c r="B299" t="s">
        <v>84</v>
      </c>
      <c r="C299">
        <v>200</v>
      </c>
      <c r="D299">
        <f>C299*1.013*10^5</f>
        <v>20259999.999999996</v>
      </c>
      <c r="M299" t="s">
        <v>84</v>
      </c>
      <c r="N299">
        <v>200</v>
      </c>
      <c r="O299">
        <f>N299*1.013*10^5</f>
        <v>20259999.999999996</v>
      </c>
    </row>
    <row r="300" spans="2:21">
      <c r="B300" t="s">
        <v>44</v>
      </c>
      <c r="C300">
        <v>450</v>
      </c>
      <c r="D300">
        <f>C300+273.15</f>
        <v>723.15</v>
      </c>
      <c r="M300" t="s">
        <v>44</v>
      </c>
      <c r="N300">
        <v>-20</v>
      </c>
      <c r="O300">
        <f>N300+273.15</f>
        <v>253.14999999999998</v>
      </c>
    </row>
    <row r="301" spans="2:21">
      <c r="B301" t="s">
        <v>47</v>
      </c>
      <c r="C301">
        <v>8.3140000000000001</v>
      </c>
      <c r="D301">
        <f>C301</f>
        <v>8.3140000000000001</v>
      </c>
      <c r="M301" t="s">
        <v>47</v>
      </c>
      <c r="N301">
        <v>8.3140000000000001</v>
      </c>
      <c r="O301">
        <f>N301</f>
        <v>8.3140000000000001</v>
      </c>
    </row>
    <row r="304" spans="2:21">
      <c r="C304" t="s">
        <v>85</v>
      </c>
      <c r="D304" t="s">
        <v>86</v>
      </c>
      <c r="E304" t="s">
        <v>87</v>
      </c>
      <c r="F304" t="s">
        <v>88</v>
      </c>
      <c r="G304" t="s">
        <v>89</v>
      </c>
      <c r="N304" t="s">
        <v>85</v>
      </c>
      <c r="O304" t="s">
        <v>86</v>
      </c>
      <c r="P304" t="s">
        <v>87</v>
      </c>
      <c r="Q304" t="s">
        <v>88</v>
      </c>
      <c r="R304" t="s">
        <v>89</v>
      </c>
    </row>
    <row r="305" spans="2:21">
      <c r="B305" t="s">
        <v>20</v>
      </c>
      <c r="C305">
        <v>9191.2000000000007</v>
      </c>
      <c r="D305">
        <f>(C305*1000)/(24*60*60)</f>
        <v>106.37962962962963</v>
      </c>
      <c r="E305">
        <v>220</v>
      </c>
      <c r="F305">
        <f>1.8*10^-5</f>
        <v>1.8E-5</v>
      </c>
      <c r="G305">
        <f>D305/$D$314</f>
        <v>0.24927045703561473</v>
      </c>
      <c r="H305">
        <f>E305*G305</f>
        <v>54.839500547835243</v>
      </c>
      <c r="J305">
        <f t="shared" ref="J305:J311" si="48">F305*G305</f>
        <v>4.4868682266410649E-6</v>
      </c>
      <c r="M305" t="s">
        <v>20</v>
      </c>
      <c r="N305">
        <v>7056.4</v>
      </c>
      <c r="O305">
        <f>(N305*1000)/(24*60*60)</f>
        <v>81.671296296296291</v>
      </c>
      <c r="P305">
        <v>289</v>
      </c>
      <c r="Q305">
        <f>3*10^-5</f>
        <v>3.0000000000000004E-5</v>
      </c>
      <c r="R305">
        <f>O305/$O$314</f>
        <v>0.23788076969754177</v>
      </c>
      <c r="S305">
        <f>P305*R305</f>
        <v>68.747542442589577</v>
      </c>
      <c r="U305">
        <f t="shared" ref="U305:U311" si="49">Q305*R305</f>
        <v>7.1364230909262539E-6</v>
      </c>
    </row>
    <row r="306" spans="2:21">
      <c r="B306" t="s">
        <v>143</v>
      </c>
      <c r="C306">
        <v>107.7</v>
      </c>
      <c r="D306">
        <f>(C306*1000)/(24*60*60)</f>
        <v>1.2465277777777777</v>
      </c>
      <c r="E306">
        <v>320</v>
      </c>
      <c r="F306">
        <f>2.2*10^-5</f>
        <v>2.2000000000000003E-5</v>
      </c>
      <c r="G306">
        <f t="shared" ref="G306:G307" si="50">D306/$D$314</f>
        <v>2.9208839131708271E-3</v>
      </c>
      <c r="H306">
        <f>E306*G306</f>
        <v>0.93468285221466463</v>
      </c>
      <c r="J306">
        <f t="shared" si="48"/>
        <v>6.4259446089758212E-8</v>
      </c>
      <c r="M306" t="s">
        <v>143</v>
      </c>
      <c r="N306">
        <v>88.1</v>
      </c>
      <c r="O306">
        <f>(N306*1000)/(24*60*60)</f>
        <v>1.0196759259259258</v>
      </c>
      <c r="P306">
        <v>413</v>
      </c>
      <c r="Q306">
        <f>2.5*10^-5</f>
        <v>2.5000000000000001E-5</v>
      </c>
      <c r="R306">
        <f t="shared" ref="R306:R307" si="51">O306/$O$314</f>
        <v>2.9699699294758555E-3</v>
      </c>
      <c r="S306">
        <f>P306*R306</f>
        <v>1.2265975808735283</v>
      </c>
      <c r="U306">
        <f t="shared" si="49"/>
        <v>7.4249248236896393E-8</v>
      </c>
    </row>
    <row r="307" spans="2:21">
      <c r="B307" t="s">
        <v>26</v>
      </c>
      <c r="C307">
        <v>27573.5</v>
      </c>
      <c r="D307">
        <f>(C307*1000)/(24*60*60)</f>
        <v>319.13773148148147</v>
      </c>
      <c r="E307">
        <v>16</v>
      </c>
      <c r="F307">
        <f>0.9*10^-5</f>
        <v>9.0000000000000002E-6</v>
      </c>
      <c r="G307">
        <f t="shared" si="50"/>
        <v>0.74780865905121452</v>
      </c>
      <c r="H307">
        <f>E307*G307</f>
        <v>11.964938544819432</v>
      </c>
      <c r="J307">
        <f t="shared" si="48"/>
        <v>6.730277931460931E-6</v>
      </c>
      <c r="M307" t="s">
        <v>26</v>
      </c>
      <c r="N307">
        <v>22519.1</v>
      </c>
      <c r="O307">
        <f>(N307*1000)/(24*60*60)</f>
        <v>260.63773148148147</v>
      </c>
      <c r="P307">
        <v>20.9</v>
      </c>
      <c r="Q307">
        <f>1*10^-5</f>
        <v>1.0000000000000001E-5</v>
      </c>
      <c r="R307">
        <f t="shared" si="51"/>
        <v>0.75914926037298236</v>
      </c>
      <c r="S307">
        <f>P307*R307</f>
        <v>15.86621954179533</v>
      </c>
      <c r="U307">
        <f t="shared" si="49"/>
        <v>7.5914926037298244E-6</v>
      </c>
    </row>
    <row r="308" spans="2:21">
      <c r="J308">
        <f t="shared" si="48"/>
        <v>0</v>
      </c>
      <c r="U308">
        <f t="shared" si="49"/>
        <v>0</v>
      </c>
    </row>
    <row r="309" spans="2:21">
      <c r="J309">
        <f t="shared" si="48"/>
        <v>0</v>
      </c>
      <c r="U309">
        <f t="shared" si="49"/>
        <v>0</v>
      </c>
    </row>
    <row r="310" spans="2:21">
      <c r="J310">
        <f t="shared" si="48"/>
        <v>0</v>
      </c>
      <c r="U310">
        <f t="shared" si="49"/>
        <v>0</v>
      </c>
    </row>
    <row r="311" spans="2:21">
      <c r="J311">
        <f t="shared" si="48"/>
        <v>0</v>
      </c>
      <c r="U311">
        <f t="shared" si="49"/>
        <v>0</v>
      </c>
    </row>
    <row r="313" spans="2:21">
      <c r="C313" s="33"/>
      <c r="D313" s="33"/>
      <c r="E313" s="33"/>
      <c r="F313" s="33"/>
      <c r="G313" s="33"/>
      <c r="N313" s="33"/>
      <c r="O313" s="33"/>
      <c r="P313" s="33"/>
      <c r="Q313" s="33"/>
      <c r="R313" s="33"/>
    </row>
    <row r="314" spans="2:21">
      <c r="C314" s="31" t="s">
        <v>92</v>
      </c>
      <c r="D314" s="31">
        <f>SUM(D305:D307)</f>
        <v>426.76388888888886</v>
      </c>
      <c r="E314" s="31">
        <f>SUM(H305:H307)</f>
        <v>67.739121944869339</v>
      </c>
      <c r="F314" s="31">
        <f>SUM(J305:J307)</f>
        <v>1.1281405604191754E-5</v>
      </c>
      <c r="G314" s="31">
        <f>SUM(G305:G307)</f>
        <v>1</v>
      </c>
      <c r="H314" t="s">
        <v>152</v>
      </c>
      <c r="J314">
        <f>D314*C301*D300/D299</f>
        <v>0.12664458747100199</v>
      </c>
      <c r="N314" s="31" t="s">
        <v>92</v>
      </c>
      <c r="O314" s="31">
        <f>SUM(O305:O307)</f>
        <v>343.3287037037037</v>
      </c>
      <c r="P314" s="31">
        <f>SUM(S305:S307)</f>
        <v>85.840359565258439</v>
      </c>
      <c r="Q314" s="31">
        <f>SUM(U305:U307)</f>
        <v>1.4802164942892974E-5</v>
      </c>
      <c r="R314" s="31">
        <f>SUM(R305:R307)</f>
        <v>1</v>
      </c>
      <c r="S314" t="s">
        <v>152</v>
      </c>
      <c r="U314">
        <f>O314*N301*O300/O299</f>
        <v>3.5666346515415344E-2</v>
      </c>
    </row>
    <row r="316" spans="2:21">
      <c r="B316" t="s">
        <v>95</v>
      </c>
      <c r="C316">
        <v>4</v>
      </c>
      <c r="D316">
        <f>J314/D317</f>
        <v>9.8111677647999738</v>
      </c>
      <c r="F316" t="s">
        <v>96</v>
      </c>
      <c r="G316">
        <f>E314*D316*D318/F314</f>
        <v>7552401.6103422502</v>
      </c>
      <c r="H316" s="21" t="s">
        <v>175</v>
      </c>
      <c r="I316" s="21"/>
      <c r="J316" s="21"/>
      <c r="M316" t="s">
        <v>95</v>
      </c>
      <c r="N316">
        <v>2.5</v>
      </c>
      <c r="O316">
        <f>U314/O317</f>
        <v>2.0183023466512884</v>
      </c>
      <c r="Q316" t="s">
        <v>96</v>
      </c>
      <c r="R316">
        <f>P314*O316*O318/Q314</f>
        <v>1755673.576970262</v>
      </c>
      <c r="S316" s="21" t="s">
        <v>175</v>
      </c>
      <c r="T316" s="21"/>
      <c r="U316" s="21"/>
    </row>
    <row r="317" spans="2:21">
      <c r="B317" t="s">
        <v>147</v>
      </c>
      <c r="C317">
        <f>J314/C316</f>
        <v>3.1661146867750498E-2</v>
      </c>
      <c r="D317">
        <f>PI()*D318*D318/4</f>
        <v>1.2908207310996274E-2</v>
      </c>
      <c r="F317" t="s">
        <v>99</v>
      </c>
      <c r="G317">
        <v>1.15E-2</v>
      </c>
      <c r="H317" s="21" t="s">
        <v>184</v>
      </c>
      <c r="I317" s="21"/>
      <c r="J317" s="21"/>
      <c r="M317" t="s">
        <v>147</v>
      </c>
      <c r="N317">
        <f>U314/N316</f>
        <v>1.4266538606166137E-2</v>
      </c>
      <c r="O317">
        <f>PI()*O318*O318/4</f>
        <v>1.7671458676442587E-2</v>
      </c>
      <c r="Q317" t="s">
        <v>99</v>
      </c>
      <c r="R317">
        <v>1.15E-2</v>
      </c>
      <c r="S317" s="21" t="s">
        <v>185</v>
      </c>
      <c r="T317" s="21"/>
      <c r="U317" s="21"/>
    </row>
    <row r="318" spans="2:21">
      <c r="B318" t="s">
        <v>101</v>
      </c>
      <c r="C318">
        <f>((4*C317)/PI())^0.5</f>
        <v>0.20077904328810756</v>
      </c>
      <c r="D318">
        <f>D319/1000</f>
        <v>0.12819999999999998</v>
      </c>
      <c r="F318" t="s">
        <v>102</v>
      </c>
      <c r="G318">
        <v>5</v>
      </c>
      <c r="H318" s="21" t="s">
        <v>94</v>
      </c>
      <c r="I318" s="21"/>
      <c r="J318" s="21">
        <f>D319</f>
        <v>128.19999999999999</v>
      </c>
      <c r="M318" t="s">
        <v>101</v>
      </c>
      <c r="N318">
        <f>((4*N317)/PI())^0.5</f>
        <v>0.13477655997932872</v>
      </c>
      <c r="O318">
        <f>O319/1000</f>
        <v>0.15</v>
      </c>
      <c r="Q318" t="s">
        <v>102</v>
      </c>
      <c r="R318">
        <v>3</v>
      </c>
      <c r="S318" s="21" t="s">
        <v>94</v>
      </c>
      <c r="T318" s="21"/>
      <c r="U318" s="21">
        <f>O319</f>
        <v>150</v>
      </c>
    </row>
    <row r="319" spans="2:21">
      <c r="B319" t="s">
        <v>104</v>
      </c>
      <c r="C319">
        <f>C318*1000</f>
        <v>200.77904328810754</v>
      </c>
      <c r="D319">
        <v>128.19999999999999</v>
      </c>
      <c r="F319" t="s">
        <v>105</v>
      </c>
      <c r="G319">
        <f>G317*G318*E314*D316*D316/(2*D318)</f>
        <v>1462.2808435646903</v>
      </c>
      <c r="H319" s="21" t="s">
        <v>95</v>
      </c>
      <c r="I319" s="21"/>
      <c r="J319" s="21">
        <f>D316</f>
        <v>9.8111677647999738</v>
      </c>
      <c r="M319" t="s">
        <v>104</v>
      </c>
      <c r="N319">
        <f>N318*1000</f>
        <v>134.77655997932871</v>
      </c>
      <c r="O319">
        <v>150</v>
      </c>
      <c r="Q319" t="s">
        <v>105</v>
      </c>
      <c r="R319">
        <f>R317*R318*P314*O316*O316/(2*O318)</f>
        <v>40.212568969914841</v>
      </c>
      <c r="S319" s="21" t="s">
        <v>95</v>
      </c>
      <c r="T319" s="21"/>
      <c r="U319" s="21">
        <f>O316</f>
        <v>2.0183023466512884</v>
      </c>
    </row>
    <row r="320" spans="2:21">
      <c r="B320" t="s">
        <v>107</v>
      </c>
      <c r="C320">
        <f>C319/25.4</f>
        <v>7.9046867436262813</v>
      </c>
      <c r="D320">
        <f>D319/25.4</f>
        <v>5.0472440944881889</v>
      </c>
      <c r="H320" s="21" t="s">
        <v>97</v>
      </c>
      <c r="I320" s="21"/>
      <c r="J320" s="21">
        <f>(J321-J318)/2</f>
        <v>6.5500000000000114</v>
      </c>
      <c r="M320" t="s">
        <v>107</v>
      </c>
      <c r="N320">
        <f>N319/25.4</f>
        <v>5.3061637787137288</v>
      </c>
      <c r="O320">
        <f>O319/25.4</f>
        <v>5.9055118110236222</v>
      </c>
      <c r="S320" s="21" t="s">
        <v>97</v>
      </c>
      <c r="T320" s="21"/>
      <c r="U320" s="21">
        <f>(U321-U318)/2</f>
        <v>9.1500000000000057</v>
      </c>
    </row>
    <row r="321" spans="2:21">
      <c r="H321" s="21" t="s">
        <v>100</v>
      </c>
      <c r="I321" s="21"/>
      <c r="J321" s="21">
        <v>141.30000000000001</v>
      </c>
      <c r="S321" s="21" t="s">
        <v>100</v>
      </c>
      <c r="T321" s="21"/>
      <c r="U321" s="21">
        <v>168.3</v>
      </c>
    </row>
    <row r="322" spans="2:21">
      <c r="H322" s="21" t="s">
        <v>103</v>
      </c>
      <c r="I322" s="21"/>
      <c r="J322" s="21">
        <f>G317</f>
        <v>1.15E-2</v>
      </c>
      <c r="S322" s="21" t="s">
        <v>103</v>
      </c>
      <c r="T322" s="21"/>
      <c r="U322" s="21">
        <f>R317</f>
        <v>1.15E-2</v>
      </c>
    </row>
    <row r="323" spans="2:21">
      <c r="H323" s="21" t="s">
        <v>106</v>
      </c>
      <c r="I323" s="21"/>
      <c r="J323" s="21">
        <f>G319/(1.01321*10^5)</f>
        <v>1.4432159607235324E-2</v>
      </c>
      <c r="S323" s="21" t="s">
        <v>106</v>
      </c>
      <c r="T323" s="21"/>
      <c r="U323" s="21">
        <f>R319/(1.01321*10^5)</f>
        <v>3.9688286702573841E-4</v>
      </c>
    </row>
    <row r="324" spans="2:21">
      <c r="H324" s="21"/>
      <c r="I324" s="21"/>
      <c r="J324" s="21"/>
      <c r="S324" s="21"/>
      <c r="T324" s="21"/>
      <c r="U324" s="21"/>
    </row>
    <row r="325" spans="2:21">
      <c r="H325" s="21" t="s">
        <v>110</v>
      </c>
      <c r="I325" s="21"/>
      <c r="J325" s="21">
        <f>G318</f>
        <v>5</v>
      </c>
      <c r="S325" s="21" t="s">
        <v>110</v>
      </c>
      <c r="T325" s="21"/>
      <c r="U325" s="21">
        <f>R318</f>
        <v>3</v>
      </c>
    </row>
    <row r="327" spans="2:21">
      <c r="B327" s="23" t="s">
        <v>186</v>
      </c>
      <c r="M327" s="23" t="s">
        <v>187</v>
      </c>
    </row>
    <row r="328" spans="2:21">
      <c r="B328" s="32" t="s">
        <v>188</v>
      </c>
      <c r="M328" s="32" t="s">
        <v>12</v>
      </c>
    </row>
    <row r="329" spans="2:21">
      <c r="B329" t="s">
        <v>84</v>
      </c>
      <c r="C329">
        <v>7</v>
      </c>
      <c r="D329">
        <f>C329*1.013*10^5</f>
        <v>709099.99999999988</v>
      </c>
      <c r="M329" t="s">
        <v>84</v>
      </c>
      <c r="N329">
        <v>200</v>
      </c>
      <c r="O329">
        <f>N329*1.013*10^5</f>
        <v>20259999.999999996</v>
      </c>
    </row>
    <row r="330" spans="2:21">
      <c r="B330" t="s">
        <v>44</v>
      </c>
      <c r="C330">
        <v>30</v>
      </c>
      <c r="D330">
        <f>C330+273.15</f>
        <v>303.14999999999998</v>
      </c>
      <c r="M330" t="s">
        <v>44</v>
      </c>
      <c r="N330">
        <v>-20</v>
      </c>
      <c r="O330">
        <f>N330+273.15</f>
        <v>253.14999999999998</v>
      </c>
    </row>
    <row r="331" spans="2:21">
      <c r="B331" t="s">
        <v>47</v>
      </c>
      <c r="C331">
        <v>8.3140000000000001</v>
      </c>
      <c r="D331">
        <f>C331</f>
        <v>8.3140000000000001</v>
      </c>
      <c r="M331" t="s">
        <v>47</v>
      </c>
      <c r="N331">
        <v>8.3140000000000001</v>
      </c>
      <c r="O331">
        <f>N331</f>
        <v>8.3140000000000001</v>
      </c>
    </row>
    <row r="334" spans="2:21">
      <c r="C334" t="s">
        <v>85</v>
      </c>
      <c r="D334" t="s">
        <v>86</v>
      </c>
      <c r="E334" t="s">
        <v>87</v>
      </c>
      <c r="F334" t="s">
        <v>88</v>
      </c>
      <c r="G334" t="s">
        <v>89</v>
      </c>
      <c r="N334" t="s">
        <v>85</v>
      </c>
      <c r="O334" t="s">
        <v>86</v>
      </c>
      <c r="P334" t="s">
        <v>87</v>
      </c>
      <c r="Q334" t="s">
        <v>88</v>
      </c>
      <c r="R334" t="s">
        <v>89</v>
      </c>
    </row>
    <row r="335" spans="2:21">
      <c r="B335" t="s">
        <v>25</v>
      </c>
      <c r="C335">
        <v>217.2</v>
      </c>
      <c r="D335">
        <f>(C335*1000)/(24*60*60)</f>
        <v>2.5138888888888888</v>
      </c>
      <c r="E335">
        <v>8.89</v>
      </c>
      <c r="F335">
        <f>2*10^-5</f>
        <v>2.0000000000000002E-5</v>
      </c>
      <c r="G335">
        <f>D335/$D$344</f>
        <v>0.9126050420168067</v>
      </c>
      <c r="H335">
        <f>E335*G335</f>
        <v>8.1130588235294123</v>
      </c>
      <c r="J335">
        <f>F335*G335</f>
        <v>1.8252100840336136E-5</v>
      </c>
      <c r="M335" t="s">
        <v>20</v>
      </c>
      <c r="N335">
        <v>214.2</v>
      </c>
      <c r="O335">
        <f>(N335*1000)/(24*60*60)</f>
        <v>2.4791666666666665</v>
      </c>
      <c r="P335">
        <v>289</v>
      </c>
      <c r="Q335">
        <f>3*10^-5</f>
        <v>3.0000000000000004E-5</v>
      </c>
      <c r="R335">
        <f>O335/$O$314</f>
        <v>7.2209711565689935E-3</v>
      </c>
      <c r="S335">
        <f>P335*R335</f>
        <v>2.0868606642484391</v>
      </c>
      <c r="U335">
        <f t="shared" ref="U335:U341" si="52">Q335*R335</f>
        <v>2.1662913469706982E-7</v>
      </c>
    </row>
    <row r="336" spans="2:21">
      <c r="B336" t="s">
        <v>18</v>
      </c>
      <c r="C336">
        <v>20.8</v>
      </c>
      <c r="D336">
        <f>(C336*1000)/(24*60*60)</f>
        <v>0.24074074074074073</v>
      </c>
      <c r="E336">
        <v>4.45</v>
      </c>
      <c r="F336">
        <f>1.1*10^-5</f>
        <v>1.1000000000000001E-5</v>
      </c>
      <c r="G336">
        <f>D336/$D$344</f>
        <v>8.7394957983193272E-2</v>
      </c>
      <c r="H336">
        <f>E336*G336</f>
        <v>0.38890756302521007</v>
      </c>
      <c r="J336">
        <f>F336*G336</f>
        <v>9.6134453781512617E-7</v>
      </c>
      <c r="M336" t="s">
        <v>143</v>
      </c>
      <c r="N336">
        <v>642.70000000000005</v>
      </c>
      <c r="O336">
        <f>(N336*1000)/(24*60*60)</f>
        <v>7.4386574074074074</v>
      </c>
      <c r="P336">
        <v>413</v>
      </c>
      <c r="Q336">
        <f>2.5*10^-5</f>
        <v>2.5000000000000001E-5</v>
      </c>
      <c r="R336">
        <f t="shared" ref="R336:R337" si="53">O336/$O$314</f>
        <v>2.1666284604700711E-2</v>
      </c>
      <c r="S336">
        <f>P336*R336</f>
        <v>8.948175541741394</v>
      </c>
      <c r="U336">
        <f t="shared" si="52"/>
        <v>5.4165711511751779E-7</v>
      </c>
    </row>
    <row r="337" spans="2:21">
      <c r="M337" t="s">
        <v>26</v>
      </c>
      <c r="N337">
        <v>19.600000000000001</v>
      </c>
      <c r="O337">
        <f>(N337*1000)/(24*60*60)</f>
        <v>0.22685185185185186</v>
      </c>
      <c r="P337">
        <v>20.9</v>
      </c>
      <c r="Q337">
        <f>1*10^-5</f>
        <v>1.0000000000000001E-5</v>
      </c>
      <c r="R337">
        <f t="shared" si="53"/>
        <v>6.6074245877101908E-4</v>
      </c>
      <c r="S337">
        <f>P337*R337</f>
        <v>1.3809517388314298E-2</v>
      </c>
      <c r="U337">
        <f t="shared" si="52"/>
        <v>6.6074245877101911E-9</v>
      </c>
    </row>
    <row r="338" spans="2:21">
      <c r="J338">
        <f>F338*G338</f>
        <v>0</v>
      </c>
      <c r="U338">
        <f t="shared" si="52"/>
        <v>0</v>
      </c>
    </row>
    <row r="339" spans="2:21">
      <c r="J339">
        <f>F339*G339</f>
        <v>0</v>
      </c>
      <c r="U339">
        <f t="shared" si="52"/>
        <v>0</v>
      </c>
    </row>
    <row r="340" spans="2:21">
      <c r="J340">
        <f>F340*G340</f>
        <v>0</v>
      </c>
      <c r="U340">
        <f t="shared" si="52"/>
        <v>0</v>
      </c>
    </row>
    <row r="341" spans="2:21">
      <c r="J341">
        <f>F341*G341</f>
        <v>0</v>
      </c>
      <c r="U341">
        <f t="shared" si="52"/>
        <v>0</v>
      </c>
    </row>
    <row r="343" spans="2:21">
      <c r="C343" s="33"/>
      <c r="D343" s="33"/>
      <c r="E343" s="33"/>
      <c r="F343" s="33"/>
      <c r="G343" s="33"/>
      <c r="N343" s="33"/>
      <c r="O343" s="33"/>
      <c r="P343" s="33"/>
      <c r="Q343" s="33"/>
      <c r="R343" s="33"/>
    </row>
    <row r="344" spans="2:21">
      <c r="C344" s="31" t="s">
        <v>92</v>
      </c>
      <c r="D344" s="31">
        <f>SUM(D335:D336)</f>
        <v>2.7546296296296298</v>
      </c>
      <c r="E344" s="31">
        <f>SUM(H335:H336)</f>
        <v>8.5019663865546224</v>
      </c>
      <c r="F344" s="31">
        <f>SUM(J335:J336)</f>
        <v>1.9213445378151264E-5</v>
      </c>
      <c r="G344" s="31">
        <f>SUM(G335:G336)</f>
        <v>1</v>
      </c>
      <c r="H344" t="s">
        <v>152</v>
      </c>
      <c r="J344">
        <f>D344*C331*D330/D329</f>
        <v>9.7909159400021949E-3</v>
      </c>
      <c r="N344" s="31" t="s">
        <v>92</v>
      </c>
      <c r="O344" s="31">
        <f>SUM(O335:O337)</f>
        <v>10.144675925925926</v>
      </c>
      <c r="P344" s="31">
        <f>SUM(S335:S337)</f>
        <v>11.048845723378147</v>
      </c>
      <c r="Q344" s="31">
        <f>SUM(U335:U337)</f>
        <v>7.6489367440229777E-7</v>
      </c>
      <c r="R344" s="31">
        <f>SUM(R335:R337)</f>
        <v>2.9547998220040724E-2</v>
      </c>
      <c r="S344" t="s">
        <v>152</v>
      </c>
      <c r="U344">
        <f>O344*N331*O330/O329</f>
        <v>1.0538691433528483E-3</v>
      </c>
    </row>
    <row r="346" spans="2:21">
      <c r="B346" t="s">
        <v>95</v>
      </c>
      <c r="C346">
        <v>4</v>
      </c>
      <c r="D346">
        <f>J344/D347</f>
        <v>2.9505754683996788</v>
      </c>
      <c r="F346" t="s">
        <v>96</v>
      </c>
      <c r="G346">
        <f>E344*D346*D348/F344</f>
        <v>84866.094673496424</v>
      </c>
      <c r="H346" s="21" t="s">
        <v>175</v>
      </c>
      <c r="I346" s="21"/>
      <c r="J346" s="21"/>
      <c r="M346" t="s">
        <v>95</v>
      </c>
      <c r="N346">
        <v>2.5</v>
      </c>
      <c r="O346">
        <f>U344/O347</f>
        <v>2.146924589268826</v>
      </c>
      <c r="Q346" t="s">
        <v>96</v>
      </c>
      <c r="R346">
        <f>P344*O346*O348/Q344</f>
        <v>775305.09665589524</v>
      </c>
      <c r="S346" s="21" t="s">
        <v>175</v>
      </c>
      <c r="T346" s="21"/>
      <c r="U346" s="21"/>
    </row>
    <row r="347" spans="2:21">
      <c r="B347" t="s">
        <v>147</v>
      </c>
      <c r="C347">
        <f>J344/C346</f>
        <v>2.4477289850005487E-3</v>
      </c>
      <c r="D347">
        <f>PI()*D348*D348/4</f>
        <v>3.3183072403542191E-3</v>
      </c>
      <c r="F347" t="s">
        <v>99</v>
      </c>
      <c r="G347">
        <v>1.8499999999999999E-2</v>
      </c>
      <c r="H347" s="21" t="s">
        <v>189</v>
      </c>
      <c r="I347" s="21"/>
      <c r="J347" s="21"/>
      <c r="M347" t="s">
        <v>147</v>
      </c>
      <c r="N347">
        <f>U344/N346</f>
        <v>4.2154765734113929E-4</v>
      </c>
      <c r="O347">
        <f>PI()*O348*O348/4</f>
        <v>4.9087385212340522E-4</v>
      </c>
      <c r="Q347" t="s">
        <v>99</v>
      </c>
      <c r="R347">
        <v>1.2500000000000001E-2</v>
      </c>
      <c r="S347" s="21" t="s">
        <v>190</v>
      </c>
      <c r="T347" s="21"/>
      <c r="U347" s="21"/>
    </row>
    <row r="348" spans="2:21">
      <c r="B348" t="s">
        <v>101</v>
      </c>
      <c r="C348">
        <f>((4*C347)/PI())^0.5</f>
        <v>5.5826027428943575E-2</v>
      </c>
      <c r="D348">
        <f>D349/1000</f>
        <v>6.5000000000000002E-2</v>
      </c>
      <c r="F348" t="s">
        <v>102</v>
      </c>
      <c r="G348">
        <v>4</v>
      </c>
      <c r="H348" s="21" t="s">
        <v>94</v>
      </c>
      <c r="I348" s="21"/>
      <c r="J348" s="21">
        <f>D349</f>
        <v>65</v>
      </c>
      <c r="M348" t="s">
        <v>101</v>
      </c>
      <c r="N348">
        <f>((4*N347)/PI())^0.5</f>
        <v>2.3167458801456983E-2</v>
      </c>
      <c r="O348">
        <f>O349/1000</f>
        <v>2.5000000000000001E-2</v>
      </c>
      <c r="Q348" t="s">
        <v>102</v>
      </c>
      <c r="R348">
        <v>3</v>
      </c>
      <c r="S348" s="21" t="s">
        <v>94</v>
      </c>
      <c r="T348" s="21"/>
      <c r="U348" s="21">
        <f>O349</f>
        <v>25</v>
      </c>
    </row>
    <row r="349" spans="2:21">
      <c r="B349" t="s">
        <v>104</v>
      </c>
      <c r="C349">
        <f>C348*1000</f>
        <v>55.826027428943576</v>
      </c>
      <c r="D349">
        <v>65</v>
      </c>
      <c r="F349" t="s">
        <v>105</v>
      </c>
      <c r="G349">
        <f>G347*G348*E344*D346*D346/(2*D348)</f>
        <v>42.132885743287225</v>
      </c>
      <c r="H349" s="21" t="s">
        <v>95</v>
      </c>
      <c r="I349" s="21"/>
      <c r="J349" s="21">
        <f>D346</f>
        <v>2.9505754683996788</v>
      </c>
      <c r="M349" t="s">
        <v>104</v>
      </c>
      <c r="N349">
        <f>N348*1000</f>
        <v>23.167458801456984</v>
      </c>
      <c r="O349">
        <v>25</v>
      </c>
      <c r="Q349" t="s">
        <v>105</v>
      </c>
      <c r="R349">
        <f>R347*R348*P344*O346*O346/(2*O348)</f>
        <v>38.195460736153542</v>
      </c>
      <c r="S349" s="21" t="s">
        <v>95</v>
      </c>
      <c r="T349" s="21"/>
      <c r="U349" s="21">
        <f>O346</f>
        <v>2.146924589268826</v>
      </c>
    </row>
    <row r="350" spans="2:21">
      <c r="B350" t="s">
        <v>107</v>
      </c>
      <c r="C350">
        <f>C349/25.4</f>
        <v>2.1978750956276998</v>
      </c>
      <c r="D350">
        <f>D349/25.4</f>
        <v>2.5590551181102366</v>
      </c>
      <c r="H350" s="21" t="s">
        <v>97</v>
      </c>
      <c r="I350" s="21"/>
      <c r="J350" s="21">
        <f>(J351-J348)/2</f>
        <v>4</v>
      </c>
      <c r="M350" t="s">
        <v>107</v>
      </c>
      <c r="N350">
        <f>N349/25.4</f>
        <v>0.91210467722271593</v>
      </c>
      <c r="O350">
        <f>O349/25.4</f>
        <v>0.98425196850393704</v>
      </c>
      <c r="S350" s="21" t="s">
        <v>97</v>
      </c>
      <c r="T350" s="21"/>
      <c r="U350" s="21">
        <f>(U351-U348)/2</f>
        <v>4.1999999999999993</v>
      </c>
    </row>
    <row r="351" spans="2:21">
      <c r="H351" s="21" t="s">
        <v>100</v>
      </c>
      <c r="I351" s="21"/>
      <c r="J351" s="21">
        <v>73</v>
      </c>
      <c r="S351" s="21" t="s">
        <v>100</v>
      </c>
      <c r="T351" s="21"/>
      <c r="U351" s="21">
        <v>33.4</v>
      </c>
    </row>
    <row r="352" spans="2:21">
      <c r="H352" s="21" t="s">
        <v>103</v>
      </c>
      <c r="I352" s="21"/>
      <c r="J352" s="21">
        <f>G347</f>
        <v>1.8499999999999999E-2</v>
      </c>
      <c r="S352" s="21" t="s">
        <v>103</v>
      </c>
      <c r="T352" s="21"/>
      <c r="U352" s="21">
        <f>R347</f>
        <v>1.2500000000000001E-2</v>
      </c>
    </row>
    <row r="353" spans="2:21">
      <c r="H353" s="21" t="s">
        <v>106</v>
      </c>
      <c r="I353" s="21"/>
      <c r="J353" s="21">
        <f>G349/(1.01321*10^5)</f>
        <v>4.1583566825522078E-4</v>
      </c>
      <c r="S353" s="21" t="s">
        <v>106</v>
      </c>
      <c r="T353" s="21"/>
      <c r="U353" s="21">
        <f>R349/(1.01321*10^5)</f>
        <v>3.7697477064136303E-4</v>
      </c>
    </row>
    <row r="354" spans="2:21">
      <c r="H354" s="21"/>
      <c r="I354" s="21"/>
      <c r="J354" s="21"/>
      <c r="S354" s="21"/>
      <c r="T354" s="21"/>
      <c r="U354" s="21"/>
    </row>
    <row r="355" spans="2:21">
      <c r="H355" s="21" t="s">
        <v>110</v>
      </c>
      <c r="I355" s="21"/>
      <c r="J355" s="21">
        <f>G348</f>
        <v>4</v>
      </c>
      <c r="S355" s="21" t="s">
        <v>110</v>
      </c>
      <c r="T355" s="21"/>
      <c r="U355" s="21">
        <f>R348</f>
        <v>3</v>
      </c>
    </row>
    <row r="357" spans="2:21">
      <c r="B357" s="23" t="s">
        <v>21</v>
      </c>
    </row>
    <row r="358" spans="2:21">
      <c r="B358" s="32" t="s">
        <v>21</v>
      </c>
    </row>
    <row r="359" spans="2:21">
      <c r="B359" t="s">
        <v>84</v>
      </c>
      <c r="C359">
        <v>200</v>
      </c>
      <c r="D359">
        <f>C359*1.013*10^5</f>
        <v>20259999.999999996</v>
      </c>
    </row>
    <row r="360" spans="2:21">
      <c r="B360" t="s">
        <v>44</v>
      </c>
      <c r="C360">
        <v>-20</v>
      </c>
      <c r="D360">
        <f>C360+273.15</f>
        <v>253.14999999999998</v>
      </c>
    </row>
    <row r="361" spans="2:21">
      <c r="B361" t="s">
        <v>47</v>
      </c>
      <c r="C361">
        <v>8.3140000000000001</v>
      </c>
      <c r="D361">
        <f>C361</f>
        <v>8.3140000000000001</v>
      </c>
    </row>
    <row r="364" spans="2:21">
      <c r="C364" t="s">
        <v>85</v>
      </c>
      <c r="D364" t="s">
        <v>86</v>
      </c>
      <c r="E364" t="s">
        <v>87</v>
      </c>
      <c r="F364" t="s">
        <v>88</v>
      </c>
      <c r="G364" t="s">
        <v>89</v>
      </c>
    </row>
    <row r="365" spans="2:21">
      <c r="B365" t="s">
        <v>21</v>
      </c>
      <c r="C365">
        <v>2941.2</v>
      </c>
      <c r="D365">
        <f>(C365*1000)/(24*60*60)</f>
        <v>34.041666666666664</v>
      </c>
      <c r="E365">
        <v>289</v>
      </c>
      <c r="F365">
        <f>3*10^-5</f>
        <v>3.0000000000000004E-5</v>
      </c>
      <c r="G365">
        <f>D365/$D$374</f>
        <v>1</v>
      </c>
    </row>
    <row r="373" spans="2:10">
      <c r="C373" s="33"/>
      <c r="D373" s="33"/>
      <c r="E373" s="33"/>
      <c r="F373" s="33"/>
      <c r="G373" s="33"/>
    </row>
    <row r="374" spans="2:10">
      <c r="C374" s="31" t="s">
        <v>92</v>
      </c>
      <c r="D374" s="31">
        <f>SUM(D365:D365)</f>
        <v>34.041666666666664</v>
      </c>
      <c r="E374" s="31">
        <f>E365</f>
        <v>289</v>
      </c>
      <c r="F374" s="31">
        <f>F365</f>
        <v>3.0000000000000004E-5</v>
      </c>
      <c r="G374" s="31">
        <f>SUM(G365:G365)</f>
        <v>1</v>
      </c>
      <c r="H374" t="s">
        <v>152</v>
      </c>
      <c r="J374">
        <f>D374*C361*D360/D359</f>
        <v>3.536383256622244E-3</v>
      </c>
    </row>
    <row r="376" spans="2:10">
      <c r="B376" t="s">
        <v>95</v>
      </c>
      <c r="C376">
        <v>2.5</v>
      </c>
      <c r="D376">
        <f>J374/D377</f>
        <v>2.8141643797942235</v>
      </c>
      <c r="F376" t="s">
        <v>96</v>
      </c>
      <c r="G376">
        <f>E374*D376*D378/F374</f>
        <v>1084391.3410140406</v>
      </c>
      <c r="H376" s="21" t="s">
        <v>165</v>
      </c>
      <c r="I376" s="21"/>
      <c r="J376" s="21"/>
    </row>
    <row r="377" spans="2:10">
      <c r="B377" t="s">
        <v>147</v>
      </c>
      <c r="C377">
        <f>J374/C376</f>
        <v>1.4145533026488975E-3</v>
      </c>
      <c r="D377">
        <f>PI()*D378*D378/4</f>
        <v>1.2566370614359175E-3</v>
      </c>
      <c r="F377" t="s">
        <v>99</v>
      </c>
      <c r="G377">
        <v>1.2500000000000001E-2</v>
      </c>
      <c r="H377" s="21" t="s">
        <v>191</v>
      </c>
      <c r="I377" s="21"/>
      <c r="J377" s="21"/>
    </row>
    <row r="378" spans="2:10">
      <c r="B378" t="s">
        <v>101</v>
      </c>
      <c r="C378">
        <f>((4*C377)/PI())^0.5</f>
        <v>4.2438958553059514E-2</v>
      </c>
      <c r="D378">
        <f>D379/1000</f>
        <v>0.04</v>
      </c>
      <c r="F378" t="s">
        <v>102</v>
      </c>
      <c r="G378">
        <v>7</v>
      </c>
      <c r="H378" s="21" t="s">
        <v>94</v>
      </c>
      <c r="I378" s="21"/>
      <c r="J378" s="21">
        <f>D379</f>
        <v>40</v>
      </c>
    </row>
    <row r="379" spans="2:10">
      <c r="B379" t="s">
        <v>104</v>
      </c>
      <c r="C379">
        <f>C378*1000</f>
        <v>42.438958553059514</v>
      </c>
      <c r="D379">
        <v>40</v>
      </c>
      <c r="F379" t="s">
        <v>105</v>
      </c>
      <c r="G379">
        <f>G377*G378*E374*D376*D376/(2*D378)</f>
        <v>2503.3111405632462</v>
      </c>
      <c r="H379" s="21" t="s">
        <v>95</v>
      </c>
      <c r="I379" s="21"/>
      <c r="J379" s="21">
        <f>D376</f>
        <v>2.8141643797942235</v>
      </c>
    </row>
    <row r="380" spans="2:10">
      <c r="B380" t="s">
        <v>107</v>
      </c>
      <c r="C380">
        <f>C379/25.4</f>
        <v>1.6708251398842329</v>
      </c>
      <c r="D380">
        <f>D379/25.4</f>
        <v>1.5748031496062993</v>
      </c>
      <c r="H380" s="21" t="s">
        <v>97</v>
      </c>
      <c r="I380" s="21"/>
      <c r="J380" s="21">
        <f>(J381-J378)/2</f>
        <v>10.149999999999999</v>
      </c>
    </row>
    <row r="381" spans="2:10">
      <c r="H381" s="21" t="s">
        <v>100</v>
      </c>
      <c r="I381" s="21"/>
      <c r="J381" s="21">
        <v>60.3</v>
      </c>
    </row>
    <row r="382" spans="2:10">
      <c r="H382" s="21" t="s">
        <v>103</v>
      </c>
      <c r="I382" s="21"/>
      <c r="J382" s="21">
        <f>G377</f>
        <v>1.2500000000000001E-2</v>
      </c>
    </row>
    <row r="383" spans="2:10">
      <c r="H383" s="21" t="s">
        <v>106</v>
      </c>
      <c r="I383" s="21"/>
      <c r="J383" s="21">
        <f>G379/(1.01321*10^5)</f>
        <v>2.4706735430594311E-2</v>
      </c>
    </row>
    <row r="384" spans="2:10">
      <c r="H384" s="21"/>
      <c r="I384" s="21"/>
      <c r="J384" s="21"/>
    </row>
    <row r="385" spans="8:10">
      <c r="H385" s="21" t="s">
        <v>110</v>
      </c>
      <c r="I385" s="21"/>
      <c r="J385" s="21">
        <f>G378</f>
        <v>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84850-9C65-44F1-BCE2-DB91D696A7FA}">
  <dimension ref="A1:AJ207"/>
  <sheetViews>
    <sheetView zoomScaleNormal="100" workbookViewId="0">
      <selection activeCell="Q11" sqref="Q11"/>
    </sheetView>
  </sheetViews>
  <sheetFormatPr defaultRowHeight="15" customHeight="1"/>
  <cols>
    <col min="2" max="2" width="20.6640625" bestFit="1" customWidth="1"/>
    <col min="3" max="3" width="17.6640625" bestFit="1" customWidth="1"/>
    <col min="4" max="4" width="12" bestFit="1" customWidth="1"/>
    <col min="5" max="5" width="20.5546875" bestFit="1" customWidth="1"/>
    <col min="6" max="6" width="23.33203125" bestFit="1" customWidth="1"/>
    <col min="7" max="7" width="9.5546875" customWidth="1"/>
    <col min="8" max="8" width="10.109375" bestFit="1" customWidth="1"/>
    <col min="10" max="10" width="13.5546875" bestFit="1" customWidth="1"/>
    <col min="11" max="11" width="17.6640625" customWidth="1"/>
    <col min="12" max="12" width="14.6640625" customWidth="1"/>
    <col min="13" max="14" width="11.44140625" customWidth="1"/>
    <col min="17" max="17" width="20.33203125" customWidth="1"/>
    <col min="20" max="20" width="11.109375" bestFit="1" customWidth="1"/>
    <col min="21" max="21" width="12.33203125" customWidth="1"/>
    <col min="22" max="22" width="8" bestFit="1" customWidth="1"/>
    <col min="23" max="23" width="10.33203125" customWidth="1"/>
    <col min="28" max="29" width="9.33203125" bestFit="1" customWidth="1"/>
    <col min="33" max="33" width="17.44140625" bestFit="1" customWidth="1"/>
    <col min="16384" max="16384" width="9.109375" bestFit="1" customWidth="1"/>
  </cols>
  <sheetData>
    <row r="1" spans="1:36" ht="15" customHeight="1">
      <c r="F1" s="13" t="s">
        <v>35</v>
      </c>
      <c r="R1" s="10"/>
    </row>
    <row r="2" spans="1:36" ht="15.6">
      <c r="R2" s="10"/>
      <c r="T2" s="13" t="s">
        <v>36</v>
      </c>
      <c r="U2" s="16" t="s">
        <v>37</v>
      </c>
      <c r="V2" s="15"/>
    </row>
    <row r="3" spans="1:36" ht="14.4">
      <c r="R3" s="10"/>
      <c r="U3" t="s">
        <v>38</v>
      </c>
      <c r="V3" t="s">
        <v>39</v>
      </c>
    </row>
    <row r="4" spans="1:36" ht="15" customHeight="1">
      <c r="A4" s="6" t="s">
        <v>40</v>
      </c>
      <c r="B4" s="6"/>
      <c r="C4" s="18" t="s">
        <v>41</v>
      </c>
      <c r="R4" s="10"/>
      <c r="T4" t="s">
        <v>42</v>
      </c>
      <c r="U4">
        <v>300</v>
      </c>
      <c r="V4">
        <f>U4+273.15</f>
        <v>573.15</v>
      </c>
    </row>
    <row r="5" spans="1:36" ht="14.4">
      <c r="A5">
        <f>25+273.15</f>
        <v>298.14999999999998</v>
      </c>
      <c r="B5">
        <f>A5-273.15</f>
        <v>25</v>
      </c>
      <c r="C5">
        <f>300+273.15</f>
        <v>573.15</v>
      </c>
      <c r="D5">
        <f>C5-273.15</f>
        <v>300</v>
      </c>
      <c r="R5" s="10"/>
      <c r="T5" t="s">
        <v>43</v>
      </c>
      <c r="U5">
        <v>850</v>
      </c>
      <c r="V5">
        <f>U5+273.15</f>
        <v>1123.1500000000001</v>
      </c>
    </row>
    <row r="6" spans="1:36" ht="14.4">
      <c r="E6">
        <v>1</v>
      </c>
      <c r="F6" t="s">
        <v>44</v>
      </c>
      <c r="G6" t="s">
        <v>45</v>
      </c>
      <c r="H6" t="s">
        <v>46</v>
      </c>
      <c r="J6" t="s">
        <v>47</v>
      </c>
      <c r="K6">
        <v>8.3140000000000001</v>
      </c>
      <c r="R6" s="10"/>
    </row>
    <row r="7" spans="1:36" ht="14.4">
      <c r="C7" t="s">
        <v>48</v>
      </c>
      <c r="E7" t="s">
        <v>49</v>
      </c>
      <c r="F7" t="s">
        <v>50</v>
      </c>
      <c r="G7" t="s">
        <v>51</v>
      </c>
      <c r="H7" t="s">
        <v>52</v>
      </c>
      <c r="R7" s="10"/>
      <c r="U7" t="s">
        <v>53</v>
      </c>
      <c r="V7" t="s">
        <v>49</v>
      </c>
      <c r="W7" t="s">
        <v>50</v>
      </c>
      <c r="X7" t="s">
        <v>51</v>
      </c>
      <c r="Y7" t="s">
        <v>52</v>
      </c>
    </row>
    <row r="8" spans="1:36" ht="14.4">
      <c r="C8">
        <f>-78</f>
        <v>-78</v>
      </c>
      <c r="F8" s="3">
        <f>0.001</f>
        <v>1E-3</v>
      </c>
      <c r="G8">
        <f>0.000001</f>
        <v>9.9999999999999995E-7</v>
      </c>
      <c r="H8">
        <f>100000</f>
        <v>100000</v>
      </c>
      <c r="R8" s="10"/>
      <c r="V8">
        <v>1</v>
      </c>
      <c r="W8" s="3">
        <f>0.001</f>
        <v>1E-3</v>
      </c>
      <c r="X8">
        <f>0.000001</f>
        <v>9.9999999999999995E-7</v>
      </c>
      <c r="Y8">
        <f>100000</f>
        <v>100000</v>
      </c>
    </row>
    <row r="9" spans="1:36" ht="14.4">
      <c r="A9" t="s">
        <v>18</v>
      </c>
      <c r="B9">
        <f>('MATERIAL BALANCE'!F4)/(60*60*24)</f>
        <v>1.6063078703703701E-2</v>
      </c>
      <c r="E9">
        <v>1.702</v>
      </c>
      <c r="F9">
        <v>9.0809999999999995</v>
      </c>
      <c r="G9">
        <v>-2.1640000000000001</v>
      </c>
      <c r="H9">
        <v>0</v>
      </c>
      <c r="J9">
        <f>E9*($B$18-$B$19)</f>
        <v>0</v>
      </c>
      <c r="K9" s="3">
        <f>(F9*$F$8*($B$18^2-B$19^2))*(1/2)</f>
        <v>0</v>
      </c>
      <c r="L9" s="3">
        <f>(1/3)*G9*$G$8*($B$18^3-$B$19^3)</f>
        <v>0</v>
      </c>
      <c r="M9">
        <f>H9*$H$8*(1/$B$18-1/$B$19)</f>
        <v>0</v>
      </c>
      <c r="O9">
        <f>SUM(J9:M9)</f>
        <v>0</v>
      </c>
      <c r="P9">
        <f>O9*B9*$K$6</f>
        <v>0</v>
      </c>
      <c r="R9" s="10"/>
      <c r="T9" t="s">
        <v>18</v>
      </c>
      <c r="V9">
        <v>1.702</v>
      </c>
      <c r="W9">
        <v>9.0809999999999995</v>
      </c>
      <c r="X9">
        <v>-2.1640000000000001</v>
      </c>
      <c r="Y9">
        <v>0</v>
      </c>
      <c r="AA9">
        <f>V9*($V$5-$V$4)</f>
        <v>936.10000000000014</v>
      </c>
      <c r="AB9" s="3">
        <f>(W9*$W$8*($V$5^2-$V$4^2))*(1/2)</f>
        <v>4236.1275825000012</v>
      </c>
      <c r="AC9" s="3">
        <f>(1/3)*X9*$X$8*($V$5^3-$V$4^3)</f>
        <v>-886.1833527928336</v>
      </c>
      <c r="AD9">
        <f>Y9*$Y$8*(1/$V$5-1/$V$4)</f>
        <v>0</v>
      </c>
      <c r="AF9">
        <f>SUM(AA9:AD9)</f>
        <v>4286.0442297071677</v>
      </c>
      <c r="AG9">
        <f>1387.9/(60*60*24)</f>
        <v>1.6063657407407408E-2</v>
      </c>
      <c r="AH9">
        <f>AF9*AG9*8.314</f>
        <v>572.41512659974012</v>
      </c>
    </row>
    <row r="10" spans="1:36" ht="14.4">
      <c r="A10" t="s">
        <v>22</v>
      </c>
      <c r="B10">
        <f>('MATERIAL BALANCE'!F5)/(60*60*24)</f>
        <v>4.9679624856815573E-4</v>
      </c>
      <c r="E10">
        <v>3.931</v>
      </c>
      <c r="F10">
        <v>1.49</v>
      </c>
      <c r="G10">
        <v>0</v>
      </c>
      <c r="H10">
        <v>-0.23200000000000001</v>
      </c>
      <c r="J10">
        <f>E10*($B$18-$B$19)</f>
        <v>0</v>
      </c>
      <c r="K10" s="3">
        <f>(F10*$F$8*($B$18^2-B$19^2))*(1/2)</f>
        <v>0</v>
      </c>
      <c r="L10" s="3">
        <f>(1/3)*G10*$G$8*($B$18^3-$B$19^3)</f>
        <v>0</v>
      </c>
      <c r="M10">
        <f>H10*$H$8*(1/$B$18-1/$B$19)</f>
        <v>0</v>
      </c>
      <c r="O10">
        <f t="shared" ref="O10:O16" si="0">SUM(J10:M10)</f>
        <v>0</v>
      </c>
      <c r="P10">
        <f>O10*B10*$K$6</f>
        <v>0</v>
      </c>
      <c r="R10" s="10"/>
      <c r="T10" t="s">
        <v>22</v>
      </c>
      <c r="V10">
        <v>3.931</v>
      </c>
      <c r="W10">
        <v>1.49</v>
      </c>
      <c r="X10">
        <v>0</v>
      </c>
      <c r="Y10">
        <v>-0.23200000000000001</v>
      </c>
      <c r="AA10">
        <f>V10*($V$5-$V$4)</f>
        <v>2162.0500000000006</v>
      </c>
      <c r="AB10" s="3">
        <f>(W10*$W$8*($V$5^2-$V$4^2))*(1/2)</f>
        <v>695.05892500000004</v>
      </c>
      <c r="AC10" s="3">
        <f>(1/3)*X10*$X$8*($V$5^3-$V$4^3)</f>
        <v>0</v>
      </c>
      <c r="AD10">
        <f>Y10*$Y$8*(1/$V$5-1/$V$4)</f>
        <v>19.82186966531166</v>
      </c>
      <c r="AF10">
        <f t="shared" ref="AF10:AF66" si="1">SUM(AA10:AD10)</f>
        <v>2876.9307946653121</v>
      </c>
      <c r="AG10">
        <f>'MATERIAL BALANCE'!C5/(60*60*24)</f>
        <v>4.9679624856815573E-4</v>
      </c>
      <c r="AH10">
        <f>AF10*AG10*8.314</f>
        <v>11.882771415259938</v>
      </c>
      <c r="AI10" s="11">
        <f>SUM(AH9:AH10)</f>
        <v>584.2978980150001</v>
      </c>
      <c r="AJ10" t="s">
        <v>54</v>
      </c>
    </row>
    <row r="11" spans="1:36" ht="14.4">
      <c r="A11" t="s">
        <v>27</v>
      </c>
      <c r="B11">
        <f>('MATERIAL BALANCE'!F6)/(60*60*24)</f>
        <v>4.9679624856815573E-4</v>
      </c>
      <c r="E11">
        <v>45.91</v>
      </c>
      <c r="F11">
        <v>9.0890000000000004</v>
      </c>
      <c r="G11">
        <v>4.1589999999999998</v>
      </c>
      <c r="H11">
        <v>-6.04976</v>
      </c>
      <c r="J11">
        <f>E11*($B$18-$B$19)</f>
        <v>0</v>
      </c>
      <c r="K11" s="3">
        <f>(F11*$F$8*($B$18^2-B$19^2))*(1/2)</f>
        <v>0</v>
      </c>
      <c r="L11" s="3">
        <f>(1/3)*G11*$G$8*($B$18^3-$B$19^3)</f>
        <v>0</v>
      </c>
      <c r="M11">
        <f>H11*$H$8*(1/$B$18-1/$B$19)</f>
        <v>0</v>
      </c>
      <c r="O11">
        <f>SUM(J11:M11)</f>
        <v>0</v>
      </c>
      <c r="P11">
        <f>O11*B11*$K$6</f>
        <v>0</v>
      </c>
      <c r="Q11" s="4">
        <f>SUM(P9:P11)</f>
        <v>0</v>
      </c>
      <c r="R11" s="10"/>
      <c r="AB11" s="3"/>
      <c r="AC11" s="3"/>
    </row>
    <row r="12" spans="1:36" ht="14.4">
      <c r="K12" s="3"/>
      <c r="L12" s="3"/>
      <c r="R12" s="10"/>
      <c r="AB12" s="3"/>
      <c r="AC12" s="3"/>
    </row>
    <row r="13" spans="1:36" ht="15.6">
      <c r="K13" s="3"/>
      <c r="L13" s="3"/>
      <c r="R13" s="10"/>
      <c r="T13" s="13" t="s">
        <v>36</v>
      </c>
      <c r="U13" s="16" t="s">
        <v>55</v>
      </c>
      <c r="V13" s="15"/>
      <c r="AB13" s="3"/>
      <c r="AC13" s="3"/>
    </row>
    <row r="14" spans="1:36" ht="14.4">
      <c r="A14" t="s">
        <v>19</v>
      </c>
      <c r="B14">
        <f>('MATERIAL BALANCE'!H4)/(60*60*24)</f>
        <v>4.9679624856815573E-4</v>
      </c>
      <c r="E14">
        <v>3.47</v>
      </c>
      <c r="F14">
        <v>1.45</v>
      </c>
      <c r="G14">
        <v>0</v>
      </c>
      <c r="H14">
        <v>0.121</v>
      </c>
      <c r="J14">
        <f>E14*($B$18-$B$19)</f>
        <v>0</v>
      </c>
      <c r="K14" s="3">
        <f>(F14*$F$8*($B$18^2-B$19^2))*(1/2)</f>
        <v>0</v>
      </c>
      <c r="L14" s="3">
        <f>(1/3)*G14*$G$8*($B$18^3-$B$19^3)</f>
        <v>0</v>
      </c>
      <c r="M14">
        <f>H14*$H$8*(1/$B$18-1/$B$19)</f>
        <v>0</v>
      </c>
      <c r="O14">
        <f t="shared" si="0"/>
        <v>0</v>
      </c>
      <c r="P14">
        <f>O14*B14*$K$6</f>
        <v>0</v>
      </c>
      <c r="R14" s="10"/>
      <c r="AB14" s="3"/>
      <c r="AC14" s="3"/>
    </row>
    <row r="15" spans="1:36" ht="14.4">
      <c r="A15" t="s">
        <v>23</v>
      </c>
      <c r="B15">
        <f>('MATERIAL BALANCE'!H5)/(60*60*24)</f>
        <v>4.9679624856815573E-4</v>
      </c>
      <c r="E15">
        <v>43.11</v>
      </c>
      <c r="F15">
        <f>0.012658*1000</f>
        <v>12.658000000000001</v>
      </c>
      <c r="G15">
        <f>-1.122</f>
        <v>-1.1220000000000001</v>
      </c>
      <c r="H15">
        <f>2.48</f>
        <v>2.48</v>
      </c>
      <c r="J15">
        <f>E15*($B$18-$B$19)</f>
        <v>0</v>
      </c>
      <c r="K15" s="3">
        <f>(F15*$F$8*($B$18^2-B$19^2))*(1/2)</f>
        <v>0</v>
      </c>
      <c r="L15" s="3">
        <f>(1/3)*G15*$G$8*($B$18^3-$B$19^3)</f>
        <v>0</v>
      </c>
      <c r="M15">
        <f>H15*$H$8*(1/$B$18-1/$B$19)</f>
        <v>0</v>
      </c>
      <c r="O15">
        <f>SUM(J15:M15)</f>
        <v>0</v>
      </c>
      <c r="P15">
        <f>O15*B15*$K$6</f>
        <v>0</v>
      </c>
      <c r="R15" s="10"/>
      <c r="T15" t="s">
        <v>42</v>
      </c>
      <c r="U15">
        <v>475</v>
      </c>
      <c r="V15">
        <v>298.14999999999998</v>
      </c>
      <c r="AB15" s="3"/>
      <c r="AC15" s="3"/>
    </row>
    <row r="16" spans="1:36" ht="14.4">
      <c r="A16" t="s">
        <v>18</v>
      </c>
      <c r="B16">
        <f>('MATERIAL BALANCE'!H6)/(60*60*24)</f>
        <v>1.6063078703703701E-2</v>
      </c>
      <c r="E16">
        <v>1.702</v>
      </c>
      <c r="F16">
        <v>9.0809999999999995</v>
      </c>
      <c r="G16">
        <v>-2.1640000000000001</v>
      </c>
      <c r="H16">
        <v>0</v>
      </c>
      <c r="J16">
        <f>E16*($B$18-$B$19)</f>
        <v>0</v>
      </c>
      <c r="K16" s="3">
        <f>(F16*$F$8*($B$18^2-B$19^2))*(1/2)</f>
        <v>0</v>
      </c>
      <c r="L16" s="3">
        <f>(1/3)*G16*$G$8*($B$18^3-$B$19^3)</f>
        <v>0</v>
      </c>
      <c r="M16">
        <f>H16*$H$8*(1/$B$18-1/$B$19)</f>
        <v>0</v>
      </c>
      <c r="O16">
        <f t="shared" si="0"/>
        <v>0</v>
      </c>
      <c r="P16">
        <f>O16*B16*$K$6</f>
        <v>0</v>
      </c>
      <c r="Q16" s="4">
        <f>SUM(P14:P16)</f>
        <v>0</v>
      </c>
      <c r="R16" s="10"/>
      <c r="T16" t="s">
        <v>43</v>
      </c>
      <c r="U16">
        <v>1000</v>
      </c>
      <c r="V16">
        <f>273.15+U16</f>
        <v>1273.1500000000001</v>
      </c>
      <c r="AB16" s="3"/>
      <c r="AC16" s="3"/>
    </row>
    <row r="17" spans="1:36" ht="14.4">
      <c r="K17" s="3"/>
      <c r="L17" s="3"/>
      <c r="R17" s="10"/>
      <c r="AB17" s="3"/>
      <c r="AC17" s="3"/>
    </row>
    <row r="18" spans="1:36" ht="14.4">
      <c r="A18" t="s">
        <v>42</v>
      </c>
      <c r="B18">
        <v>573.15</v>
      </c>
      <c r="K18" s="3"/>
      <c r="L18" s="3"/>
      <c r="R18" s="10"/>
      <c r="U18" t="s">
        <v>53</v>
      </c>
      <c r="V18" t="s">
        <v>49</v>
      </c>
      <c r="W18" t="s">
        <v>50</v>
      </c>
      <c r="X18" t="s">
        <v>51</v>
      </c>
      <c r="Y18" t="s">
        <v>52</v>
      </c>
      <c r="AB18" s="3"/>
      <c r="AC18" s="3"/>
    </row>
    <row r="19" spans="1:36" ht="15" customHeight="1">
      <c r="A19" t="s">
        <v>43</v>
      </c>
      <c r="B19">
        <v>573.15</v>
      </c>
      <c r="K19" s="3"/>
      <c r="L19" s="3"/>
      <c r="P19" t="s">
        <v>54</v>
      </c>
      <c r="Q19" s="8">
        <f>(Q16+Q11)+('MATERIAL BALANCE'!G13*C8*1000/(24*60*60))</f>
        <v>-38.750107388316152</v>
      </c>
      <c r="R19" s="10"/>
      <c r="V19">
        <v>1</v>
      </c>
      <c r="W19" s="3">
        <f>0.001</f>
        <v>1E-3</v>
      </c>
      <c r="X19">
        <f>0.000001</f>
        <v>9.9999999999999995E-7</v>
      </c>
      <c r="Y19">
        <f>100000</f>
        <v>100000</v>
      </c>
      <c r="AB19" s="3"/>
      <c r="AC19" s="3"/>
    </row>
    <row r="20" spans="1:36" ht="15" customHeight="1">
      <c r="K20" s="3"/>
      <c r="L20" s="3"/>
      <c r="R20" s="10"/>
      <c r="T20" t="s">
        <v>25</v>
      </c>
      <c r="V20">
        <v>3.6389999999999998</v>
      </c>
      <c r="W20">
        <v>0.50600000000000001</v>
      </c>
      <c r="X20">
        <v>0</v>
      </c>
      <c r="Y20">
        <v>-0.22700000000000001</v>
      </c>
      <c r="AA20">
        <f>V20*($V$16-$V$15)</f>
        <v>3548.0250000000001</v>
      </c>
      <c r="AB20" s="3">
        <f>(W20*$W$8*($V$16^2-$V$15^2))*(1/2)</f>
        <v>387.60042750000014</v>
      </c>
      <c r="AC20" s="3">
        <f>(1/3)*X20*$X$8*($V$16^3-$V$15^3)</f>
        <v>0</v>
      </c>
      <c r="AD20">
        <f>Y20*$Y$8*(1/$V$16-1/$V$15)</f>
        <v>58.30638081967313</v>
      </c>
      <c r="AF20">
        <f t="shared" si="1"/>
        <v>3993.9318083196731</v>
      </c>
      <c r="AG20">
        <f>'MATERIAL BALANCE'!P5/(60*60*24)</f>
        <v>5.1978988603988601E-3</v>
      </c>
      <c r="AH20">
        <f>AF20*AG20*8.314</f>
        <v>172.59908558862705</v>
      </c>
    </row>
    <row r="21" spans="1:36" ht="15" customHeight="1">
      <c r="K21" s="3"/>
      <c r="L21" s="3"/>
      <c r="R21" s="10"/>
      <c r="T21" t="s">
        <v>20</v>
      </c>
      <c r="V21">
        <v>3.28</v>
      </c>
      <c r="W21">
        <v>0.59299999999999997</v>
      </c>
      <c r="X21">
        <v>0</v>
      </c>
      <c r="Y21">
        <v>0.04</v>
      </c>
      <c r="AA21">
        <f>V21*($V$16-$V$15)</f>
        <v>3198</v>
      </c>
      <c r="AB21" s="3">
        <f>(W21*$W$8*($V$16^2-$V$15^2))*(1/2)</f>
        <v>454.24318875000012</v>
      </c>
      <c r="AC21" s="3">
        <f>(1/3)*X21*$X$8*($V$16^3-$V$15^3)</f>
        <v>0</v>
      </c>
      <c r="AD21">
        <f>Y21*$Y$8*(1/$V$16-1/$V$15)</f>
        <v>-10.274252126814648</v>
      </c>
      <c r="AF21">
        <f t="shared" si="1"/>
        <v>3641.9689366231855</v>
      </c>
      <c r="AG21">
        <f>'MATERIAL BALANCE'!P4/(60*60*24)</f>
        <v>1.930648148148148E-2</v>
      </c>
      <c r="AH21">
        <f>AF21*AG21*8.314</f>
        <v>584.58731887931924</v>
      </c>
    </row>
    <row r="22" spans="1:36" ht="15" customHeight="1">
      <c r="A22" t="s">
        <v>56</v>
      </c>
      <c r="B22">
        <v>298.14999999999998</v>
      </c>
      <c r="F22" s="13" t="s">
        <v>57</v>
      </c>
      <c r="K22" s="3"/>
      <c r="L22" s="3"/>
      <c r="R22" s="10"/>
      <c r="T22" t="s">
        <v>28</v>
      </c>
      <c r="V22">
        <v>20.786000000000001</v>
      </c>
      <c r="W22">
        <v>0.123</v>
      </c>
      <c r="X22">
        <f>-0.136</f>
        <v>-0.13600000000000001</v>
      </c>
      <c r="Y22">
        <v>0</v>
      </c>
      <c r="AA22">
        <f>V22*($V$16-$V$15)</f>
        <v>20266.350000000002</v>
      </c>
      <c r="AB22" s="3">
        <f>(W22*$W$8*($V$16^2-$V$15^2))*(1/2)</f>
        <v>94.219076250000029</v>
      </c>
      <c r="AC22" s="3">
        <f>(1/3)*X22*$X$8*($V$16^3-$V$15^3)</f>
        <v>-92.351215573500028</v>
      </c>
      <c r="AD22">
        <f>Y22*$Y$8*(1/$V$16-1/$V$15)</f>
        <v>0</v>
      </c>
      <c r="AF22">
        <f>SUM(AA22:AD22)</f>
        <v>20268.217860676501</v>
      </c>
      <c r="AG22">
        <f>'MATERIAL BALANCE'!P6/(60*60*24)</f>
        <v>2.2662037037037035E-4</v>
      </c>
      <c r="AH22">
        <f>AF22*AG22*8.314</f>
        <v>38.187790292707746</v>
      </c>
      <c r="AI22" s="11">
        <f>SUM(AH20:AH22)</f>
        <v>795.37419476065406</v>
      </c>
      <c r="AJ22" t="s">
        <v>54</v>
      </c>
    </row>
    <row r="23" spans="1:36" ht="15" customHeight="1">
      <c r="R23" s="10"/>
      <c r="AB23" s="3"/>
      <c r="AC23" s="3"/>
    </row>
    <row r="24" spans="1:36" ht="15" customHeight="1">
      <c r="A24" t="s">
        <v>58</v>
      </c>
      <c r="D24" t="s">
        <v>59</v>
      </c>
      <c r="E24">
        <f>206</f>
        <v>206</v>
      </c>
      <c r="R24" s="10"/>
      <c r="T24" s="13" t="s">
        <v>60</v>
      </c>
      <c r="U24" s="16" t="s">
        <v>61</v>
      </c>
      <c r="V24" s="15"/>
      <c r="AB24" s="3"/>
      <c r="AC24" s="3"/>
    </row>
    <row r="25" spans="1:36" ht="15" customHeight="1">
      <c r="K25" s="3"/>
      <c r="L25" s="3"/>
      <c r="R25" s="10"/>
      <c r="AB25" s="3"/>
      <c r="AC25" s="3"/>
    </row>
    <row r="26" spans="1:36" ht="15" customHeight="1">
      <c r="A26" t="s">
        <v>62</v>
      </c>
      <c r="B26">
        <v>400</v>
      </c>
      <c r="C26">
        <f>B26+273.15</f>
        <v>673.15</v>
      </c>
      <c r="K26" s="3"/>
      <c r="L26" s="3"/>
      <c r="R26" s="10"/>
      <c r="T26" t="s">
        <v>42</v>
      </c>
      <c r="U26">
        <v>1000</v>
      </c>
      <c r="V26">
        <f>273.15+U26</f>
        <v>1273.1500000000001</v>
      </c>
      <c r="AB26" s="3"/>
      <c r="AC26" s="3"/>
    </row>
    <row r="27" spans="1:36" ht="15" customHeight="1">
      <c r="A27" t="s">
        <v>19</v>
      </c>
      <c r="B27">
        <f>('MATERIAL BALANCE'!K4)/(60*60*24)</f>
        <v>4.8189236111111103E-2</v>
      </c>
      <c r="E27">
        <v>3.47</v>
      </c>
      <c r="F27">
        <v>1.45</v>
      </c>
      <c r="G27">
        <v>0</v>
      </c>
      <c r="H27">
        <v>0.121</v>
      </c>
      <c r="J27">
        <f>E27*($B$22-$C26)</f>
        <v>-1301.25</v>
      </c>
      <c r="K27" s="3">
        <f>(F27*$F$8*($B$22^2-$C26^2))*(1/2)</f>
        <v>-264.07218749999998</v>
      </c>
      <c r="L27" s="3">
        <f>(1/3)*G27*$G$8*($B$22^3-$C26^3)</f>
        <v>0</v>
      </c>
      <c r="M27">
        <f>H27*$H$8*(1/$B$22-1/$C26)</f>
        <v>22.608407594686039</v>
      </c>
      <c r="O27">
        <f>SUM(J27:M27)</f>
        <v>-1542.7137799053139</v>
      </c>
      <c r="P27">
        <f>O27*B27*$K$6</f>
        <v>-618.08103909157546</v>
      </c>
      <c r="R27" s="10"/>
      <c r="T27" t="s">
        <v>43</v>
      </c>
      <c r="U27">
        <v>350</v>
      </c>
      <c r="V27">
        <f>273.15+U27</f>
        <v>623.15</v>
      </c>
      <c r="AB27" s="3"/>
      <c r="AC27" s="3"/>
    </row>
    <row r="28" spans="1:36" ht="15" customHeight="1">
      <c r="K28" s="3"/>
      <c r="L28" s="3"/>
      <c r="R28" s="10"/>
      <c r="AB28" s="3"/>
      <c r="AC28" s="3"/>
    </row>
    <row r="29" spans="1:36" ht="15" customHeight="1">
      <c r="B29">
        <v>850</v>
      </c>
      <c r="C29">
        <f t="shared" ref="C29" si="2">B29+273.15</f>
        <v>1123.1500000000001</v>
      </c>
      <c r="K29" s="3"/>
      <c r="L29" s="3"/>
      <c r="R29" s="10"/>
      <c r="U29" t="s">
        <v>53</v>
      </c>
      <c r="V29" t="s">
        <v>49</v>
      </c>
      <c r="W29" t="s">
        <v>50</v>
      </c>
      <c r="X29" t="s">
        <v>51</v>
      </c>
      <c r="Y29" t="s">
        <v>52</v>
      </c>
      <c r="AB29" s="3"/>
      <c r="AC29" s="3"/>
    </row>
    <row r="30" spans="1:36" ht="15" customHeight="1">
      <c r="A30" t="s">
        <v>18</v>
      </c>
      <c r="B30">
        <f>('MATERIAL BALANCE'!K5)/(60*60*24)</f>
        <v>1.6063078703703701E-2</v>
      </c>
      <c r="E30">
        <v>1.702</v>
      </c>
      <c r="F30">
        <v>9.0809999999999995</v>
      </c>
      <c r="G30">
        <v>-2.1640000000000001</v>
      </c>
      <c r="H30">
        <v>0</v>
      </c>
      <c r="J30">
        <f>E30*($B$22-$C29)</f>
        <v>-1404.15</v>
      </c>
      <c r="K30" s="3">
        <f>(F30*$F$8*($B$22^2-$C29^2))*(1/2)</f>
        <v>-5324.0654362499999</v>
      </c>
      <c r="L30" s="3">
        <f>(1/3)*G30*$G$8*($B$22^3-$C29^3)</f>
        <v>1002.8783005642503</v>
      </c>
      <c r="M30">
        <f>H30*$H$8*(1/$B$22-1/$C29)</f>
        <v>0</v>
      </c>
      <c r="O30">
        <f>SUM(J30:M30)</f>
        <v>-5725.3371356857506</v>
      </c>
      <c r="P30">
        <f>O30*B30*$K$6</f>
        <v>-764.60982200500973</v>
      </c>
      <c r="Q30" s="4">
        <f>SUM(P27:P30)</f>
        <v>-1382.6908610965852</v>
      </c>
      <c r="R30" s="10"/>
      <c r="V30">
        <v>1</v>
      </c>
      <c r="W30" s="3">
        <f>0.001</f>
        <v>1E-3</v>
      </c>
      <c r="X30">
        <f>0.000001</f>
        <v>9.9999999999999995E-7</v>
      </c>
      <c r="Y30">
        <f>100000</f>
        <v>100000</v>
      </c>
      <c r="AB30" s="3"/>
      <c r="AC30" s="3"/>
    </row>
    <row r="31" spans="1:36" ht="15" customHeight="1">
      <c r="K31" s="3"/>
      <c r="L31" s="3"/>
      <c r="R31" s="10"/>
      <c r="T31" t="s">
        <v>20</v>
      </c>
      <c r="V31">
        <v>3.28</v>
      </c>
      <c r="W31">
        <v>0.59299999999999997</v>
      </c>
      <c r="X31">
        <v>0</v>
      </c>
      <c r="Y31">
        <v>0.04</v>
      </c>
      <c r="AA31">
        <f t="shared" ref="AA31:AA37" si="3">V31*($V$27-$V$26)</f>
        <v>-2132.0000000000005</v>
      </c>
      <c r="AB31" s="3">
        <f t="shared" ref="AB31:AB37" si="4">(W31*$W$8*($V$27^2-$V$26^2))*(1/2)</f>
        <v>-365.46441750000014</v>
      </c>
      <c r="AC31" s="3">
        <f t="shared" ref="AC31:AC37" si="5">(1/3)*X31*$X$8*($V$27^3-$V$26^3)</f>
        <v>0</v>
      </c>
      <c r="AD31">
        <f t="shared" ref="AD31:AD37" si="6">Y31*$Y$8*(1/$V$27-1/$V$26)</f>
        <v>3.277186628805036</v>
      </c>
      <c r="AF31">
        <f t="shared" si="1"/>
        <v>-2494.1872308711959</v>
      </c>
      <c r="AG31">
        <f>'MATERIAL BALANCE'!U4/(60*60*24)</f>
        <v>1.930648148148148E-2</v>
      </c>
      <c r="AH31">
        <f t="shared" ref="AH31:AH37" si="7">AF31*AG31*8.314</f>
        <v>-400.35218626272547</v>
      </c>
    </row>
    <row r="32" spans="1:36" ht="15" customHeight="1">
      <c r="A32" t="s">
        <v>63</v>
      </c>
      <c r="R32" s="10"/>
      <c r="T32" t="s">
        <v>25</v>
      </c>
      <c r="V32">
        <v>3.6389999999999998</v>
      </c>
      <c r="W32">
        <v>0.50600000000000001</v>
      </c>
      <c r="X32">
        <v>0</v>
      </c>
      <c r="Y32">
        <v>-0.22700000000000001</v>
      </c>
      <c r="AA32">
        <f t="shared" si="3"/>
        <v>-2365.3500000000004</v>
      </c>
      <c r="AB32" s="3">
        <f t="shared" si="4"/>
        <v>-311.84653500000013</v>
      </c>
      <c r="AC32" s="3">
        <f t="shared" si="5"/>
        <v>0</v>
      </c>
      <c r="AD32">
        <f t="shared" si="6"/>
        <v>-18.598034118468579</v>
      </c>
      <c r="AF32">
        <f t="shared" si="1"/>
        <v>-2695.7945691184691</v>
      </c>
      <c r="AG32">
        <f>'MATERIAL BALANCE'!U5/(60*60*24)</f>
        <v>2.9089376335470077E-3</v>
      </c>
      <c r="AH32">
        <f t="shared" si="7"/>
        <v>-65.197542253530827</v>
      </c>
    </row>
    <row r="33" spans="1:36" ht="15" customHeight="1">
      <c r="K33" s="3"/>
      <c r="L33" s="3"/>
      <c r="R33" s="10"/>
      <c r="T33" t="s">
        <v>18</v>
      </c>
      <c r="V33">
        <v>1.702</v>
      </c>
      <c r="W33">
        <v>9.0809999999999995</v>
      </c>
      <c r="X33">
        <v>-2.1640000000000001</v>
      </c>
      <c r="Y33">
        <v>0</v>
      </c>
      <c r="AA33">
        <f t="shared" si="3"/>
        <v>-1106.3000000000002</v>
      </c>
      <c r="AB33" s="3">
        <f t="shared" si="4"/>
        <v>-5596.5975975000028</v>
      </c>
      <c r="AC33" s="3">
        <f t="shared" si="5"/>
        <v>1314.0411567551671</v>
      </c>
      <c r="AD33">
        <f t="shared" si="6"/>
        <v>0</v>
      </c>
      <c r="AF33">
        <f t="shared" si="1"/>
        <v>-5388.8564407448357</v>
      </c>
      <c r="AG33">
        <f>'MATERIAL BALANCE'!U7/(60*60*24)</f>
        <v>2.4094328703703726E-4</v>
      </c>
      <c r="AH33">
        <f t="shared" si="7"/>
        <v>-10.794970631870143</v>
      </c>
    </row>
    <row r="34" spans="1:36" ht="15" customHeight="1">
      <c r="A34" t="s">
        <v>64</v>
      </c>
      <c r="B34">
        <v>850</v>
      </c>
      <c r="C34">
        <f>273.15+B34</f>
        <v>1123.1500000000001</v>
      </c>
      <c r="K34" s="3"/>
      <c r="L34" s="3"/>
      <c r="R34" s="10"/>
      <c r="T34" t="s">
        <v>26</v>
      </c>
      <c r="V34">
        <v>3.2490000000000001</v>
      </c>
      <c r="W34">
        <v>0.42199999999999999</v>
      </c>
      <c r="X34">
        <v>0</v>
      </c>
      <c r="Y34">
        <v>8.3000000000000004E-2</v>
      </c>
      <c r="AA34">
        <f t="shared" si="3"/>
        <v>-2111.8500000000004</v>
      </c>
      <c r="AB34" s="3">
        <f t="shared" si="4"/>
        <v>-260.0775450000001</v>
      </c>
      <c r="AC34" s="3">
        <f t="shared" si="5"/>
        <v>0</v>
      </c>
      <c r="AD34">
        <f t="shared" si="6"/>
        <v>6.8001622547704494</v>
      </c>
      <c r="AF34">
        <f t="shared" si="1"/>
        <v>-2365.1273827452301</v>
      </c>
      <c r="AG34">
        <f>'MATERIAL BALANCE'!U8/(60*60*24)</f>
        <v>4.2888483796296291E-2</v>
      </c>
      <c r="AH34">
        <f t="shared" si="7"/>
        <v>-843.34495186171193</v>
      </c>
    </row>
    <row r="35" spans="1:36" ht="15" customHeight="1">
      <c r="A35" t="s">
        <v>18</v>
      </c>
      <c r="B35">
        <f>('MATERIAL BALANCE'!M4)/(60*60*24)</f>
        <v>4.8188657407407407E-3</v>
      </c>
      <c r="E35">
        <v>1.702</v>
      </c>
      <c r="F35">
        <v>9.0809999999999995</v>
      </c>
      <c r="G35">
        <v>-2.1640000000000001</v>
      </c>
      <c r="H35">
        <v>0</v>
      </c>
      <c r="J35">
        <f>-E35*($B$22-$C34)</f>
        <v>1404.15</v>
      </c>
      <c r="K35" s="3">
        <f>-1*(F35*$F$8*($B$22^2-$C34^2))*(1/2)</f>
        <v>5324.0654362499999</v>
      </c>
      <c r="L35" s="3">
        <f>-1*(1/3)*G35*$G$8*($B$22^3-$C$34^3)</f>
        <v>-1002.8783005642503</v>
      </c>
      <c r="M35">
        <f>-1*H35*$H$8*(1/$B$22-1/$C$34)</f>
        <v>0</v>
      </c>
      <c r="O35">
        <f>SUM(J35:M35)</f>
        <v>5725.3371356857506</v>
      </c>
      <c r="P35">
        <f>O35*B35*$K$6</f>
        <v>229.38019194566118</v>
      </c>
      <c r="R35" s="10"/>
      <c r="T35" t="s">
        <v>24</v>
      </c>
      <c r="V35">
        <v>3.3759999999999999</v>
      </c>
      <c r="W35">
        <v>0.55700000000000005</v>
      </c>
      <c r="X35">
        <v>0</v>
      </c>
      <c r="Y35">
        <v>-3.1E-2</v>
      </c>
      <c r="AA35">
        <f t="shared" si="3"/>
        <v>-2194.4</v>
      </c>
      <c r="AB35" s="3">
        <f t="shared" si="4"/>
        <v>-343.27770750000019</v>
      </c>
      <c r="AC35" s="3">
        <f t="shared" si="5"/>
        <v>0</v>
      </c>
      <c r="AD35">
        <f t="shared" si="6"/>
        <v>-2.539819637323903</v>
      </c>
      <c r="AF35">
        <f t="shared" si="1"/>
        <v>-2540.2175271373244</v>
      </c>
      <c r="AG35">
        <f>'MATERIAL BALANCE'!U9/(60*60*24)</f>
        <v>1.5822135416666664E-2</v>
      </c>
      <c r="AH35">
        <f t="shared" si="7"/>
        <v>-334.15350864773228</v>
      </c>
    </row>
    <row r="36" spans="1:36" ht="15" customHeight="1">
      <c r="A36" t="s">
        <v>24</v>
      </c>
      <c r="B36">
        <f>('MATERIAL BALANCE'!M5)/(60*60*24)</f>
        <v>1.1244212962962961E-2</v>
      </c>
      <c r="E36">
        <v>3.3759999999999999</v>
      </c>
      <c r="F36">
        <v>0.55700000000000005</v>
      </c>
      <c r="G36">
        <v>0</v>
      </c>
      <c r="H36">
        <v>-3.1E-2</v>
      </c>
      <c r="J36">
        <f>-E36*($B$22-$C34)</f>
        <v>2785.2000000000003</v>
      </c>
      <c r="K36" s="3">
        <f>-1*(F36*$F$8*($B$22^2-$C34^2))*(1/2)</f>
        <v>326.56144125000003</v>
      </c>
      <c r="L36" s="3">
        <f>-1*(1/3)*G36*$G$8*($B$22^3-$C$34^3)</f>
        <v>0</v>
      </c>
      <c r="M36">
        <f>-1*H36*$H$8*(1/$B$22-1/$C$34)</f>
        <v>7.6373565700889969</v>
      </c>
      <c r="O36">
        <f>SUM(J36:M36)</f>
        <v>3119.3987978200894</v>
      </c>
      <c r="P36">
        <f>O36*B36*$K$6</f>
        <v>291.61508309411511</v>
      </c>
      <c r="R36" s="10"/>
      <c r="T36" t="s">
        <v>19</v>
      </c>
      <c r="V36">
        <v>3.47</v>
      </c>
      <c r="W36">
        <v>1.45</v>
      </c>
      <c r="X36">
        <v>0</v>
      </c>
      <c r="Y36">
        <v>0.121</v>
      </c>
      <c r="AA36">
        <f t="shared" si="3"/>
        <v>-2255.5000000000005</v>
      </c>
      <c r="AB36" s="3">
        <f t="shared" si="4"/>
        <v>-893.63137500000028</v>
      </c>
      <c r="AC36" s="3">
        <f t="shared" si="5"/>
        <v>0</v>
      </c>
      <c r="AD36">
        <f t="shared" si="6"/>
        <v>9.9134895521352338</v>
      </c>
      <c r="AF36">
        <f t="shared" si="1"/>
        <v>-3139.2178854478657</v>
      </c>
      <c r="AG36">
        <f>'MATERIAL BALANCE'!U10/(60*60*24)</f>
        <v>3.694502314814814E-2</v>
      </c>
      <c r="AH36">
        <f t="shared" si="7"/>
        <v>-964.24506147733132</v>
      </c>
    </row>
    <row r="37" spans="1:36" ht="15" customHeight="1">
      <c r="A37" t="s">
        <v>26</v>
      </c>
      <c r="B37">
        <f>('MATERIAL BALANCE'!M6)/(60*60*24)</f>
        <v>3.3732638888888881E-2</v>
      </c>
      <c r="E37">
        <v>3.2490000000000001</v>
      </c>
      <c r="F37">
        <v>0.42199999999999999</v>
      </c>
      <c r="G37">
        <v>0</v>
      </c>
      <c r="H37">
        <v>8.3000000000000004E-2</v>
      </c>
      <c r="J37">
        <f>-E37*($B$22-$C34)</f>
        <v>2680.4250000000006</v>
      </c>
      <c r="K37" s="3">
        <f>-1*(F37*$F$8*($B$22^2-$C34^2))*(1/2)</f>
        <v>247.41279750000001</v>
      </c>
      <c r="L37" s="3">
        <f>-1*(1/3)*G37*$G$8*($B$22^3-$C$34^3)</f>
        <v>0</v>
      </c>
      <c r="M37">
        <f>-1*H37*$H$8*(1/$B$22-1/$C$34)</f>
        <v>-20.448406300560862</v>
      </c>
      <c r="O37">
        <f>SUM(J37:M37)</f>
        <v>2907.3893911994401</v>
      </c>
      <c r="P37">
        <f>O37*B37*$K$6</f>
        <v>815.38654130475084</v>
      </c>
      <c r="R37" s="10"/>
      <c r="T37" t="s">
        <v>28</v>
      </c>
      <c r="V37">
        <v>20.786000000000001</v>
      </c>
      <c r="W37">
        <v>0.123</v>
      </c>
      <c r="X37">
        <f>-0.136</f>
        <v>-0.13600000000000001</v>
      </c>
      <c r="Y37">
        <v>0</v>
      </c>
      <c r="AA37">
        <f t="shared" si="3"/>
        <v>-13510.900000000003</v>
      </c>
      <c r="AB37" s="3">
        <f t="shared" si="4"/>
        <v>-75.804592500000027</v>
      </c>
      <c r="AC37" s="3">
        <f t="shared" si="5"/>
        <v>82.58299321566669</v>
      </c>
      <c r="AD37">
        <f t="shared" si="6"/>
        <v>0</v>
      </c>
      <c r="AF37">
        <f>SUM(AA37:AD37)</f>
        <v>-13504.121599284337</v>
      </c>
      <c r="AG37">
        <f>'MATERIAL BALANCE'!U6/(60*60*24)</f>
        <v>2.2662037037037035E-4</v>
      </c>
      <c r="AH37">
        <f t="shared" si="7"/>
        <v>-25.443409344894565</v>
      </c>
      <c r="AI37" s="11">
        <f>SUM(AH31:AH37)</f>
        <v>-2643.5316304797961</v>
      </c>
      <c r="AJ37" t="s">
        <v>54</v>
      </c>
    </row>
    <row r="38" spans="1:36" ht="15" customHeight="1">
      <c r="A38" t="s">
        <v>19</v>
      </c>
      <c r="B38">
        <f>('MATERIAL BALANCE'!M7)/(60*60*24)</f>
        <v>3.694502314814814E-2</v>
      </c>
      <c r="E38">
        <v>3.47</v>
      </c>
      <c r="F38">
        <v>1.45</v>
      </c>
      <c r="G38">
        <v>0</v>
      </c>
      <c r="H38">
        <v>0.121</v>
      </c>
      <c r="J38">
        <f>-E38*($B$22-$C34)</f>
        <v>2862.7500000000005</v>
      </c>
      <c r="K38" s="3">
        <f>-1*(F38*$F$8*($B$22^2-$C34^2))*(1/2)</f>
        <v>850.11506249999991</v>
      </c>
      <c r="L38" s="3">
        <f>-1*(1/3)*G38*$G$8*($B$22^3-$C$34^3)</f>
        <v>0</v>
      </c>
      <c r="M38">
        <f>-1*H38*$H$8*(1/$B$22-1/$C$34)</f>
        <v>-29.81032725744415</v>
      </c>
      <c r="O38">
        <f>SUM(J38:M38)</f>
        <v>3683.0547352425565</v>
      </c>
      <c r="P38">
        <f>O38*B38*$K$6</f>
        <v>1131.290489924585</v>
      </c>
      <c r="Q38" s="4">
        <f>SUM(P35:P38)</f>
        <v>2467.6723062691121</v>
      </c>
      <c r="R38" s="10"/>
      <c r="AB38" s="3"/>
      <c r="AC38" s="3"/>
    </row>
    <row r="39" spans="1:36" ht="15" customHeight="1">
      <c r="K39" s="3"/>
      <c r="L39" s="3"/>
      <c r="R39" s="10"/>
      <c r="T39" s="13" t="s">
        <v>60</v>
      </c>
      <c r="U39" s="16" t="s">
        <v>65</v>
      </c>
      <c r="V39" s="15"/>
      <c r="AB39" s="3"/>
      <c r="AC39" s="3"/>
    </row>
    <row r="40" spans="1:36" ht="15" customHeight="1">
      <c r="K40" s="3"/>
      <c r="L40" s="3"/>
      <c r="P40" t="s">
        <v>54</v>
      </c>
      <c r="Q40" s="9">
        <f>(Q38+Q30)+('MATERIAL BALANCE'!L13*('HEAT TRANSFER'!E24)*1000/(60*60*24))</f>
        <v>3401.2893155428969</v>
      </c>
      <c r="R40" s="10"/>
      <c r="AB40" s="3"/>
      <c r="AC40" s="3"/>
    </row>
    <row r="41" spans="1:36" ht="15" customHeight="1">
      <c r="F41" s="13" t="s">
        <v>66</v>
      </c>
      <c r="K41" s="3"/>
      <c r="L41" s="3"/>
      <c r="R41" s="10"/>
      <c r="T41" t="s">
        <v>42</v>
      </c>
      <c r="U41">
        <v>350</v>
      </c>
      <c r="V41">
        <f>273.15+U41</f>
        <v>623.15</v>
      </c>
      <c r="AB41" s="3"/>
      <c r="AC41" s="3"/>
    </row>
    <row r="42" spans="1:36" ht="15" customHeight="1">
      <c r="A42" t="s">
        <v>58</v>
      </c>
      <c r="K42" s="3"/>
      <c r="L42" s="3"/>
      <c r="R42" s="10"/>
      <c r="T42" t="s">
        <v>43</v>
      </c>
      <c r="U42">
        <v>110</v>
      </c>
      <c r="V42">
        <f>273.15+U42</f>
        <v>383.15</v>
      </c>
      <c r="AB42" s="3"/>
      <c r="AC42" s="3"/>
    </row>
    <row r="43" spans="1:36" ht="15" customHeight="1">
      <c r="D43" t="s">
        <v>59</v>
      </c>
      <c r="E43">
        <f>-36</f>
        <v>-36</v>
      </c>
      <c r="K43" s="3"/>
      <c r="L43" s="3"/>
      <c r="R43" s="10"/>
      <c r="AB43" s="3"/>
      <c r="AC43" s="3"/>
    </row>
    <row r="44" spans="1:36" ht="15" customHeight="1">
      <c r="B44">
        <v>900</v>
      </c>
      <c r="C44">
        <f>273.15+B44</f>
        <v>1173.1500000000001</v>
      </c>
      <c r="K44" s="3"/>
      <c r="L44" s="3"/>
      <c r="R44" s="10"/>
      <c r="U44" t="s">
        <v>53</v>
      </c>
      <c r="V44" t="s">
        <v>49</v>
      </c>
      <c r="W44" t="s">
        <v>50</v>
      </c>
      <c r="X44" t="s">
        <v>51</v>
      </c>
      <c r="Y44" t="s">
        <v>52</v>
      </c>
      <c r="AB44" s="3"/>
      <c r="AC44" s="3"/>
    </row>
    <row r="45" spans="1:36" ht="15" customHeight="1">
      <c r="A45" t="s">
        <v>18</v>
      </c>
      <c r="B45">
        <f>('MATERIAL BALANCE'!S7)/(24*60*60)</f>
        <v>4.8188657407407407E-3</v>
      </c>
      <c r="E45">
        <v>1.702</v>
      </c>
      <c r="F45">
        <v>9.0809999999999995</v>
      </c>
      <c r="G45">
        <v>-2.1640000000000001</v>
      </c>
      <c r="H45">
        <v>0</v>
      </c>
      <c r="J45">
        <f>E45*($B$22-$C44)</f>
        <v>-1489.2500000000002</v>
      </c>
      <c r="K45" s="3">
        <f>(F45*$F$8*($B$22^2-$C$44^2))*(1/2)</f>
        <v>-5845.3829437500008</v>
      </c>
      <c r="L45" s="3">
        <f>(1/3)*G45*$G$8*($B$22^3-$C$44^3)</f>
        <v>1145.535321545417</v>
      </c>
      <c r="M45">
        <f>H45*$H$8*(1/$B$22-1/$C$44)</f>
        <v>0</v>
      </c>
      <c r="O45">
        <f>SUM(J45:M45)</f>
        <v>-6189.0976222045838</v>
      </c>
      <c r="P45">
        <f>O45*B45*$K$6</f>
        <v>-247.96031515822406</v>
      </c>
      <c r="R45" s="10"/>
      <c r="V45">
        <v>1</v>
      </c>
      <c r="W45" s="3">
        <f>0.001</f>
        <v>1E-3</v>
      </c>
      <c r="X45">
        <f>0.000001</f>
        <v>9.9999999999999995E-7</v>
      </c>
      <c r="Y45">
        <f>100000</f>
        <v>100000</v>
      </c>
      <c r="AB45" s="3"/>
      <c r="AC45" s="3"/>
    </row>
    <row r="46" spans="1:36" ht="15" customHeight="1">
      <c r="A46" t="s">
        <v>24</v>
      </c>
      <c r="B46">
        <f>('MATERIAL BALANCE'!S8)/(24*60*60)</f>
        <v>1.1244212962962961E-2</v>
      </c>
      <c r="E46">
        <v>3.3759999999999999</v>
      </c>
      <c r="F46">
        <v>0.55700000000000005</v>
      </c>
      <c r="G46">
        <v>0</v>
      </c>
      <c r="H46">
        <v>-3.1E-2</v>
      </c>
      <c r="J46">
        <f>E46*($B$22-$C$44)</f>
        <v>-2954.0000000000005</v>
      </c>
      <c r="K46" s="3">
        <f t="shared" ref="K46:K48" si="8">(F46*$F$8*($B$22^2-$C$44^2))*(1/2)</f>
        <v>-358.53741875000009</v>
      </c>
      <c r="L46" s="3">
        <f t="shared" ref="L46:L48" si="9">(1/3)*G46*$G$8*($B$22^3-$C$44^3)</f>
        <v>0</v>
      </c>
      <c r="M46">
        <f>H46*$H$8*(1/$B$22-1/$C$44)</f>
        <v>-7.7549926088487746</v>
      </c>
      <c r="O46">
        <f>SUM(J46:M46)</f>
        <v>-3320.2924113588492</v>
      </c>
      <c r="P46">
        <f>O46*B46*$K$6</f>
        <v>-310.39549932243517</v>
      </c>
      <c r="R46" s="10"/>
      <c r="T46" t="s">
        <v>20</v>
      </c>
      <c r="V46">
        <v>3.28</v>
      </c>
      <c r="W46">
        <v>0.59299999999999997</v>
      </c>
      <c r="X46">
        <v>0</v>
      </c>
      <c r="Y46">
        <v>0.04</v>
      </c>
      <c r="AA46">
        <f t="shared" ref="AA46:AA53" si="10">V46*($V$42-$V$41)</f>
        <v>-787.19999999999993</v>
      </c>
      <c r="AB46" s="3">
        <f t="shared" ref="AB46:AB53" si="11">(W46*$W$8*($V$42^2-$V$41^2))*(1/2)</f>
        <v>-71.608307999999994</v>
      </c>
      <c r="AC46" s="3">
        <f t="shared" ref="AC46:AC53" si="12">(1/3)*X46*$X$8*($V$42^3-$V$41^3)</f>
        <v>0</v>
      </c>
      <c r="AD46">
        <f t="shared" ref="AD46:AD53" si="13">Y46*$Y$8*(1/$V$42-1/$V$41)</f>
        <v>4.0207753041132781</v>
      </c>
      <c r="AF46">
        <f t="shared" si="1"/>
        <v>-854.78753269588663</v>
      </c>
      <c r="AG46">
        <f>'MATERIAL BALANCE'!Z4/(60*60*24)</f>
        <v>1.930648148148148E-2</v>
      </c>
      <c r="AH46">
        <f t="shared" ref="AH46:AH53" si="14">AF46*AG46*8.314</f>
        <v>-137.20544042132167</v>
      </c>
    </row>
    <row r="47" spans="1:36" ht="15" customHeight="1">
      <c r="A47" t="s">
        <v>26</v>
      </c>
      <c r="B47">
        <f>('MATERIAL BALANCE'!S9)/(24*60*60)</f>
        <v>3.3732638888888881E-2</v>
      </c>
      <c r="E47">
        <v>3.2490000000000001</v>
      </c>
      <c r="F47">
        <v>0.42199999999999999</v>
      </c>
      <c r="G47">
        <v>0</v>
      </c>
      <c r="H47">
        <v>8.3000000000000004E-2</v>
      </c>
      <c r="J47">
        <f t="shared" ref="J47" si="15">E47*($B$22-$C$44)</f>
        <v>-2842.8750000000005</v>
      </c>
      <c r="K47" s="3">
        <f t="shared" si="8"/>
        <v>-271.63876249999998</v>
      </c>
      <c r="L47" s="3">
        <f t="shared" si="9"/>
        <v>0</v>
      </c>
      <c r="M47">
        <f>H47*$H$8*(1/$B$22-1/$C$44)</f>
        <v>20.763367307562849</v>
      </c>
      <c r="O47">
        <f>SUM(J47:M47)</f>
        <v>-3093.7503951924377</v>
      </c>
      <c r="P47">
        <f>O47*B47*$K$6</f>
        <v>-867.65207372359271</v>
      </c>
      <c r="R47" s="10"/>
      <c r="T47" t="s">
        <v>25</v>
      </c>
      <c r="V47">
        <v>3.6389999999999998</v>
      </c>
      <c r="W47">
        <v>0.50600000000000001</v>
      </c>
      <c r="X47">
        <v>0</v>
      </c>
      <c r="Y47">
        <v>-0.22700000000000001</v>
      </c>
      <c r="AA47">
        <f t="shared" si="10"/>
        <v>-873.3599999999999</v>
      </c>
      <c r="AB47" s="3">
        <f t="shared" si="11"/>
        <v>-61.102536000000008</v>
      </c>
      <c r="AC47" s="3">
        <f t="shared" si="12"/>
        <v>0</v>
      </c>
      <c r="AD47">
        <f t="shared" si="13"/>
        <v>-22.817899850842853</v>
      </c>
      <c r="AF47">
        <f t="shared" si="1"/>
        <v>-957.28043585084276</v>
      </c>
      <c r="AG47">
        <f>'MATERIAL BALANCE'!Z5/(60*60*24)</f>
        <v>2.9089376335470077E-3</v>
      </c>
      <c r="AH47">
        <f t="shared" si="14"/>
        <v>-23.151738778549699</v>
      </c>
    </row>
    <row r="48" spans="1:36" ht="15" customHeight="1">
      <c r="A48" t="s">
        <v>19</v>
      </c>
      <c r="B48">
        <f>('MATERIAL BALANCE'!S10)/(24*60*60)</f>
        <v>3.694502314814814E-2</v>
      </c>
      <c r="E48">
        <v>3.47</v>
      </c>
      <c r="F48">
        <v>1.45</v>
      </c>
      <c r="G48">
        <v>0</v>
      </c>
      <c r="H48">
        <v>0.121</v>
      </c>
      <c r="J48">
        <f>E48*($B$22-$C$44)</f>
        <v>-3036.2500000000005</v>
      </c>
      <c r="K48" s="3">
        <f t="shared" si="8"/>
        <v>-933.35593749999998</v>
      </c>
      <c r="L48" s="3">
        <f t="shared" si="9"/>
        <v>0</v>
      </c>
      <c r="M48">
        <f>H48*$H$8*(1/$B$22-1/$C$44)</f>
        <v>30.269487279700055</v>
      </c>
      <c r="O48">
        <f>SUM(J48:M48)</f>
        <v>-3939.3364502203003</v>
      </c>
      <c r="P48">
        <f>O48*B48*$K$6</f>
        <v>-1210.010217905166</v>
      </c>
      <c r="Q48" s="4">
        <f>SUM(P45:P48)</f>
        <v>-2636.0181061094181</v>
      </c>
      <c r="R48" s="10"/>
      <c r="T48" t="s">
        <v>18</v>
      </c>
      <c r="V48">
        <v>1.702</v>
      </c>
      <c r="W48">
        <v>9.0809999999999995</v>
      </c>
      <c r="X48">
        <v>-2.1640000000000001</v>
      </c>
      <c r="Y48">
        <v>0</v>
      </c>
      <c r="AA48">
        <f t="shared" si="10"/>
        <v>-408.48</v>
      </c>
      <c r="AB48" s="3">
        <f t="shared" si="11"/>
        <v>-1096.5852360000001</v>
      </c>
      <c r="AC48" s="3">
        <f t="shared" si="12"/>
        <v>133.97406534960001</v>
      </c>
      <c r="AD48">
        <f t="shared" si="13"/>
        <v>0</v>
      </c>
      <c r="AF48">
        <f t="shared" si="1"/>
        <v>-1371.0911706504</v>
      </c>
      <c r="AG48">
        <f>'MATERIAL BALANCE'!Z7/(60*60*24)</f>
        <v>2.4094328703703726E-4</v>
      </c>
      <c r="AH48">
        <f t="shared" si="14"/>
        <v>-2.7465732449056999</v>
      </c>
    </row>
    <row r="49" spans="1:36" ht="15" customHeight="1">
      <c r="K49" s="3"/>
      <c r="L49" s="3"/>
      <c r="R49" s="10"/>
      <c r="T49" t="s">
        <v>26</v>
      </c>
      <c r="V49">
        <v>3.2490000000000001</v>
      </c>
      <c r="W49">
        <v>0.42199999999999999</v>
      </c>
      <c r="X49">
        <v>0</v>
      </c>
      <c r="Y49">
        <v>8.3000000000000004E-2</v>
      </c>
      <c r="AA49">
        <f t="shared" si="10"/>
        <v>-779.76</v>
      </c>
      <c r="AB49" s="3">
        <f t="shared" si="11"/>
        <v>-50.959032000000001</v>
      </c>
      <c r="AC49" s="3">
        <f t="shared" si="12"/>
        <v>0</v>
      </c>
      <c r="AD49">
        <f t="shared" si="13"/>
        <v>8.3431087560350523</v>
      </c>
      <c r="AF49">
        <f t="shared" si="1"/>
        <v>-822.37592324396496</v>
      </c>
      <c r="AG49">
        <f>'MATERIAL BALANCE'!Z8/(60*60*24)</f>
        <v>5.7919512442129624E-2</v>
      </c>
      <c r="AH49">
        <f t="shared" si="14"/>
        <v>-396.00922647828247</v>
      </c>
    </row>
    <row r="50" spans="1:36" ht="15" customHeight="1">
      <c r="A50" t="s">
        <v>67</v>
      </c>
      <c r="B50">
        <v>1000</v>
      </c>
      <c r="C50">
        <f>273.15+B50</f>
        <v>1273.1500000000001</v>
      </c>
      <c r="K50" s="3"/>
      <c r="L50" s="3"/>
      <c r="R50" s="10"/>
      <c r="T50" t="s">
        <v>24</v>
      </c>
      <c r="V50">
        <v>3.3759999999999999</v>
      </c>
      <c r="W50">
        <v>0.55700000000000005</v>
      </c>
      <c r="X50">
        <v>0</v>
      </c>
      <c r="Y50">
        <v>-3.1E-2</v>
      </c>
      <c r="AA50">
        <f t="shared" si="10"/>
        <v>-810.24</v>
      </c>
      <c r="AB50" s="3">
        <f t="shared" si="11"/>
        <v>-67.261092000000005</v>
      </c>
      <c r="AC50" s="3">
        <f t="shared" si="12"/>
        <v>0</v>
      </c>
      <c r="AD50">
        <f t="shared" si="13"/>
        <v>-3.1161008606877902</v>
      </c>
      <c r="AF50">
        <f t="shared" si="1"/>
        <v>-880.61719286068774</v>
      </c>
      <c r="AG50">
        <f>'MATERIAL BALANCE'!Z9/(60*60*24)</f>
        <v>7.9110677083333398E-4</v>
      </c>
      <c r="AH50">
        <f t="shared" si="14"/>
        <v>-5.7920497285429526</v>
      </c>
    </row>
    <row r="51" spans="1:36" ht="15" customHeight="1">
      <c r="A51" t="s">
        <v>25</v>
      </c>
      <c r="B51">
        <f>('MATERIAL BALANCE'!S5)/(24*60*60)</f>
        <v>5.1978988603988601E-3</v>
      </c>
      <c r="E51">
        <v>3.6389999999999998</v>
      </c>
      <c r="F51">
        <v>0.50600000000000001</v>
      </c>
      <c r="G51">
        <v>0</v>
      </c>
      <c r="H51">
        <v>-0.22700000000000001</v>
      </c>
      <c r="J51">
        <f>E51*($B$22-$C$50)</f>
        <v>-3548.0250000000001</v>
      </c>
      <c r="K51" s="3">
        <f>(F51*$F$8*($B$22^2-$C$50^2))*(1/2)</f>
        <v>-387.60042750000014</v>
      </c>
      <c r="L51" s="3">
        <f>(1/3)*G51*$G$8*($B$22^3-$C$50^3)</f>
        <v>0</v>
      </c>
      <c r="M51">
        <f>H51*$H$8*(1/$B$22-1/$C$50)</f>
        <v>-58.30638081967313</v>
      </c>
      <c r="O51">
        <f>SUM(J51:M51)</f>
        <v>-3993.9318083196731</v>
      </c>
      <c r="P51">
        <f>O51*B51*$K$6</f>
        <v>-172.59908558862705</v>
      </c>
      <c r="R51" s="10"/>
      <c r="T51" t="s">
        <v>19</v>
      </c>
      <c r="V51">
        <v>3.47</v>
      </c>
      <c r="W51">
        <v>1.45</v>
      </c>
      <c r="X51">
        <v>0</v>
      </c>
      <c r="Y51">
        <v>0.121</v>
      </c>
      <c r="AA51">
        <f t="shared" si="10"/>
        <v>-832.80000000000007</v>
      </c>
      <c r="AB51" s="3">
        <f t="shared" si="11"/>
        <v>-175.09619999999998</v>
      </c>
      <c r="AC51" s="3">
        <f t="shared" si="12"/>
        <v>0</v>
      </c>
      <c r="AD51">
        <f t="shared" si="13"/>
        <v>12.162845294942665</v>
      </c>
      <c r="AF51">
        <f t="shared" si="1"/>
        <v>-995.73335470505731</v>
      </c>
      <c r="AG51">
        <f>'MATERIAL BALANCE'!Z10/(60*60*24)</f>
        <v>2.191399450231481E-2</v>
      </c>
      <c r="AH51">
        <f t="shared" si="14"/>
        <v>-181.4155975981092</v>
      </c>
    </row>
    <row r="52" spans="1:36" ht="15" customHeight="1">
      <c r="A52" t="s">
        <v>20</v>
      </c>
      <c r="B52">
        <f>('MATERIAL BALANCE'!S4)/(24*60*60)</f>
        <v>1.930648148148148E-2</v>
      </c>
      <c r="E52">
        <v>3.28</v>
      </c>
      <c r="F52">
        <v>0.59299999999999997</v>
      </c>
      <c r="G52">
        <v>0</v>
      </c>
      <c r="H52">
        <v>0.04</v>
      </c>
      <c r="J52">
        <f>E52*($B$22-$C$50)</f>
        <v>-3198</v>
      </c>
      <c r="K52" s="3">
        <f>(F52*$F$8*($B$22^2-$C$50^2))*(1/2)</f>
        <v>-454.24318875000012</v>
      </c>
      <c r="L52" s="3">
        <f>(1/3)*G52*$G$8*($B$22^3-$C$50^3)</f>
        <v>0</v>
      </c>
      <c r="M52">
        <f>H52*$H$8*(1/$B$22-1/$C$50)</f>
        <v>10.274252126814648</v>
      </c>
      <c r="O52">
        <f>SUM(J52:M52)</f>
        <v>-3641.9689366231855</v>
      </c>
      <c r="P52">
        <f>O52*B52*$K$6</f>
        <v>-584.58731887931924</v>
      </c>
      <c r="Q52" s="4">
        <f>SUM(P51:P53)</f>
        <v>-795.19685206916586</v>
      </c>
      <c r="R52" s="10"/>
      <c r="T52" t="s">
        <v>29</v>
      </c>
      <c r="V52">
        <v>5.4569999999999999</v>
      </c>
      <c r="W52">
        <v>1.0449999999999999</v>
      </c>
      <c r="X52">
        <v>0</v>
      </c>
      <c r="Y52">
        <v>-1.157</v>
      </c>
      <c r="AA52">
        <f t="shared" si="10"/>
        <v>-1309.68</v>
      </c>
      <c r="AB52" s="3">
        <f t="shared" si="11"/>
        <v>-126.19001999999999</v>
      </c>
      <c r="AC52" s="3">
        <f t="shared" si="12"/>
        <v>0</v>
      </c>
      <c r="AD52">
        <f t="shared" si="13"/>
        <v>-116.30092567147656</v>
      </c>
      <c r="AF52">
        <f t="shared" si="1"/>
        <v>-1552.1709456714766</v>
      </c>
      <c r="AG52">
        <f>'MATERIAL BALANCE'!Z11/(60*60*24)</f>
        <v>1.5031028645833331E-2</v>
      </c>
      <c r="AH52">
        <f t="shared" si="14"/>
        <v>-193.97165552849754</v>
      </c>
    </row>
    <row r="53" spans="1:36" ht="15" customHeight="1">
      <c r="A53" t="s">
        <v>28</v>
      </c>
      <c r="B53">
        <f>('MATERIAL BALANCE'!S6)/(60*60*24)</f>
        <v>2.2662037037037035E-4</v>
      </c>
      <c r="E53">
        <v>20.786000000000001</v>
      </c>
      <c r="F53">
        <v>1.2300000000000001E-4</v>
      </c>
      <c r="G53">
        <f>-0.136</f>
        <v>-0.13600000000000001</v>
      </c>
      <c r="H53">
        <v>0</v>
      </c>
      <c r="J53">
        <f>E53*($B$22-$C$50)</f>
        <v>-20266.350000000002</v>
      </c>
      <c r="K53" s="3">
        <f>(F53*$F$8*($B$22^2-$C$50^2))*(1/2)</f>
        <v>-9.4219076250000033E-2</v>
      </c>
      <c r="L53" s="3">
        <f>(1/3)*G53*$G$8*($B$22^3-$C$50^3)</f>
        <v>92.351215573500028</v>
      </c>
      <c r="M53">
        <f>H53*$H$8*(1/$B$22-1/$C$50)</f>
        <v>0</v>
      </c>
      <c r="O53">
        <f>SUM(J53:M53)</f>
        <v>-20174.093003502752</v>
      </c>
      <c r="P53">
        <f>O53*B53*$K$6</f>
        <v>-38.010447601219518</v>
      </c>
      <c r="R53" s="10"/>
      <c r="T53" t="s">
        <v>28</v>
      </c>
      <c r="V53">
        <v>20.786000000000001</v>
      </c>
      <c r="W53">
        <v>0.123</v>
      </c>
      <c r="X53">
        <f>-0.136</f>
        <v>-0.13600000000000001</v>
      </c>
      <c r="Y53">
        <v>0</v>
      </c>
      <c r="AA53">
        <f t="shared" si="10"/>
        <v>-4988.6400000000003</v>
      </c>
      <c r="AB53" s="3">
        <f t="shared" si="11"/>
        <v>-14.852988000000002</v>
      </c>
      <c r="AC53" s="3">
        <f t="shared" si="12"/>
        <v>8.4198118704000002</v>
      </c>
      <c r="AD53">
        <f t="shared" si="13"/>
        <v>0</v>
      </c>
      <c r="AF53">
        <f>SUM(AA53:AD53)</f>
        <v>-4995.0731761296001</v>
      </c>
      <c r="AG53">
        <f>'MATERIAL BALANCE'!Z6/(60*60*24)</f>
        <v>2.2662037037037035E-4</v>
      </c>
      <c r="AH53">
        <f t="shared" si="14"/>
        <v>-9.4113260602380375</v>
      </c>
      <c r="AI53" s="11">
        <f>SUM(AH46:AH53)</f>
        <v>-949.70360783844728</v>
      </c>
      <c r="AJ53" t="s">
        <v>54</v>
      </c>
    </row>
    <row r="54" spans="1:36" ht="15" customHeight="1">
      <c r="K54" s="3"/>
      <c r="L54" s="3"/>
      <c r="R54" s="10"/>
      <c r="AB54" s="3"/>
      <c r="AC54" s="3"/>
      <c r="AI54" s="11"/>
    </row>
    <row r="55" spans="1:36" ht="15" customHeight="1">
      <c r="K55" s="3"/>
      <c r="L55" s="3"/>
      <c r="R55" s="10"/>
      <c r="T55" s="13" t="s">
        <v>60</v>
      </c>
      <c r="U55" s="16" t="s">
        <v>68</v>
      </c>
      <c r="V55" s="14"/>
      <c r="W55" s="15"/>
      <c r="AB55" s="3"/>
      <c r="AC55" s="3"/>
    </row>
    <row r="56" spans="1:36" ht="15" customHeight="1">
      <c r="A56" t="s">
        <v>63</v>
      </c>
      <c r="K56" s="3"/>
      <c r="L56" s="3"/>
      <c r="R56" s="10"/>
      <c r="AB56" s="3"/>
      <c r="AC56" s="3"/>
    </row>
    <row r="57" spans="1:36" ht="15" customHeight="1">
      <c r="K57" s="3"/>
      <c r="L57" s="3"/>
      <c r="R57" s="10"/>
      <c r="T57" t="s">
        <v>42</v>
      </c>
      <c r="U57">
        <v>150</v>
      </c>
      <c r="V57">
        <f>273.15+U57</f>
        <v>423.15</v>
      </c>
      <c r="AB57" s="3"/>
      <c r="AC57" s="3"/>
    </row>
    <row r="58" spans="1:36" ht="15" customHeight="1">
      <c r="A58" t="s">
        <v>69</v>
      </c>
      <c r="B58">
        <v>900</v>
      </c>
      <c r="C58">
        <f>273.15+B58</f>
        <v>1173.1500000000001</v>
      </c>
      <c r="K58" s="3"/>
      <c r="L58" s="3"/>
      <c r="R58" s="10"/>
      <c r="T58" t="s">
        <v>43</v>
      </c>
      <c r="U58">
        <v>30</v>
      </c>
      <c r="V58">
        <f>273.15+U58</f>
        <v>303.14999999999998</v>
      </c>
      <c r="AB58" s="3"/>
      <c r="AC58" s="3"/>
    </row>
    <row r="59" spans="1:36" ht="15" customHeight="1">
      <c r="A59" t="s">
        <v>20</v>
      </c>
      <c r="B59">
        <f>('MATERIAL BALANCE'!U4)/(24*60*60)</f>
        <v>1.930648148148148E-2</v>
      </c>
      <c r="E59">
        <v>3.28</v>
      </c>
      <c r="F59">
        <v>0.59299999999999997</v>
      </c>
      <c r="G59">
        <v>0</v>
      </c>
      <c r="H59">
        <v>0.04</v>
      </c>
      <c r="J59">
        <f>-1*E59*($B$22-$C$58)</f>
        <v>2870</v>
      </c>
      <c r="K59" s="3">
        <f>-1*(F59*$F$8*($B$22^2-$C$58^2))*(1/2)</f>
        <v>381.71039374999998</v>
      </c>
      <c r="L59" s="3">
        <f>-1*(1/3)*G59*$G$8*($B$22^3-$C$58^3)</f>
        <v>0</v>
      </c>
      <c r="M59">
        <f t="shared" ref="M59:M65" si="16">-1*H59*$H$8*(1/$B$22-1/$C$58)</f>
        <v>-10.006442075933903</v>
      </c>
      <c r="O59">
        <f t="shared" ref="O59:O65" si="17">SUM(J59:M59)</f>
        <v>3241.703951674066</v>
      </c>
      <c r="P59">
        <f t="shared" ref="P59:P65" si="18">O59*B59*$K$6</f>
        <v>520.33915024731789</v>
      </c>
      <c r="R59" s="10"/>
      <c r="AB59" s="3"/>
      <c r="AC59" s="3"/>
    </row>
    <row r="60" spans="1:36" ht="15" customHeight="1">
      <c r="A60" t="s">
        <v>25</v>
      </c>
      <c r="B60">
        <f>('MATERIAL BALANCE'!U5)/(24*60*60)</f>
        <v>2.9089376335470077E-3</v>
      </c>
      <c r="E60">
        <v>3.6389999999999998</v>
      </c>
      <c r="F60">
        <v>0.50600000000000001</v>
      </c>
      <c r="G60">
        <v>0</v>
      </c>
      <c r="H60">
        <v>-0.22700000000000001</v>
      </c>
      <c r="J60">
        <f t="shared" ref="J60:J64" si="19">-1*E60*($B$22-$C$58)</f>
        <v>3184.1250000000005</v>
      </c>
      <c r="K60" s="3">
        <f>-1*(F60*$F$8*($B$22^2-$C$58^2))*(1/2)</f>
        <v>325.70903750000002</v>
      </c>
      <c r="L60" s="3">
        <f t="shared" ref="L60:L64" si="20">-1*(1/3)*G60*$G$8*($B$22^3-$C$58^3)</f>
        <v>0</v>
      </c>
      <c r="M60">
        <f t="shared" si="16"/>
        <v>56.786558780924899</v>
      </c>
      <c r="O60">
        <f t="shared" si="17"/>
        <v>3566.6205962809254</v>
      </c>
      <c r="P60">
        <f t="shared" si="18"/>
        <v>86.258389156254736</v>
      </c>
      <c r="R60" s="10"/>
      <c r="AB60" s="3"/>
      <c r="AC60" s="3"/>
    </row>
    <row r="61" spans="1:36" ht="15" customHeight="1">
      <c r="A61" t="s">
        <v>18</v>
      </c>
      <c r="B61">
        <f>('MATERIAL BALANCE'!U7)/(24*60*60)</f>
        <v>2.4094328703703726E-4</v>
      </c>
      <c r="E61">
        <v>1.702</v>
      </c>
      <c r="F61">
        <v>9.0809999999999995</v>
      </c>
      <c r="G61">
        <v>-2.1640000000000001</v>
      </c>
      <c r="H61">
        <v>0</v>
      </c>
      <c r="J61">
        <f t="shared" si="19"/>
        <v>1489.2500000000002</v>
      </c>
      <c r="K61" s="3">
        <f t="shared" ref="K61:K64" si="21">-1*(F61*$F$8*($B$22^2-$C$58^2))*(1/2)</f>
        <v>5845.3829437500008</v>
      </c>
      <c r="L61" s="3">
        <f t="shared" si="20"/>
        <v>-1145.535321545417</v>
      </c>
      <c r="M61">
        <f t="shared" si="16"/>
        <v>0</v>
      </c>
      <c r="O61">
        <f t="shared" si="17"/>
        <v>6189.0976222045838</v>
      </c>
      <c r="P61">
        <f t="shared" si="18"/>
        <v>12.398015757911216</v>
      </c>
      <c r="R61" s="10"/>
      <c r="T61" t="s">
        <v>20</v>
      </c>
      <c r="V61">
        <v>3.28</v>
      </c>
      <c r="W61">
        <v>0.59299999999999997</v>
      </c>
      <c r="X61">
        <v>0</v>
      </c>
      <c r="Y61">
        <v>0.04</v>
      </c>
      <c r="AA61">
        <f t="shared" ref="AA61:AA67" si="22">V61*($V$58-$V$57)</f>
        <v>-393.59999999999997</v>
      </c>
      <c r="AB61" s="3">
        <f t="shared" ref="AB61:AB67" si="23">(W61*$W$8*($V$58^2-$V$57^2))*(1/2)</f>
        <v>-25.841753999999998</v>
      </c>
      <c r="AC61" s="3">
        <f t="shared" ref="AC61:AC67" si="24">(1/3)*X61*$X$8*($V$58^3-$V$57^3)</f>
        <v>0</v>
      </c>
      <c r="AD61">
        <f t="shared" ref="AD61:AD67" si="25">Y61*$Y$8*(1/$V$58-1/$V$57)</f>
        <v>3.7418753799976781</v>
      </c>
      <c r="AF61">
        <f t="shared" si="1"/>
        <v>-415.69987862000227</v>
      </c>
      <c r="AG61">
        <f>'MATERIAL BALANCE'!AJ4/(60*60*24)</f>
        <v>1.930648148148148E-2</v>
      </c>
      <c r="AH61">
        <f t="shared" ref="AH61:AH67" si="26">AF61*AG61*8.314</f>
        <v>-66.725686498096778</v>
      </c>
    </row>
    <row r="62" spans="1:36" ht="15" customHeight="1">
      <c r="A62" t="s">
        <v>26</v>
      </c>
      <c r="B62">
        <f>('MATERIAL BALANCE'!U8)/(24*60*60)</f>
        <v>4.2888483796296291E-2</v>
      </c>
      <c r="E62">
        <v>3.2490000000000001</v>
      </c>
      <c r="F62">
        <v>0.42199999999999999</v>
      </c>
      <c r="G62">
        <v>0</v>
      </c>
      <c r="H62">
        <v>8.3000000000000004E-2</v>
      </c>
      <c r="J62">
        <f t="shared" si="19"/>
        <v>2842.8750000000005</v>
      </c>
      <c r="K62" s="3">
        <f t="shared" si="21"/>
        <v>271.63876249999998</v>
      </c>
      <c r="L62" s="3">
        <f t="shared" si="20"/>
        <v>0</v>
      </c>
      <c r="M62">
        <f t="shared" si="16"/>
        <v>-20.763367307562849</v>
      </c>
      <c r="O62">
        <f t="shared" si="17"/>
        <v>3093.7503951924377</v>
      </c>
      <c r="P62">
        <f t="shared" si="18"/>
        <v>1103.1535963518838</v>
      </c>
      <c r="R62" s="10"/>
      <c r="T62" t="s">
        <v>25</v>
      </c>
      <c r="V62">
        <v>3.6389999999999998</v>
      </c>
      <c r="W62">
        <v>0.50600000000000001</v>
      </c>
      <c r="X62">
        <v>0</v>
      </c>
      <c r="Y62">
        <v>-0.22700000000000001</v>
      </c>
      <c r="AA62">
        <f t="shared" si="22"/>
        <v>-436.67999999999995</v>
      </c>
      <c r="AB62" s="3">
        <f t="shared" si="23"/>
        <v>-22.050468000000002</v>
      </c>
      <c r="AC62" s="3">
        <f t="shared" si="24"/>
        <v>0</v>
      </c>
      <c r="AD62">
        <f t="shared" si="25"/>
        <v>-21.235142781486822</v>
      </c>
      <c r="AF62">
        <f t="shared" si="1"/>
        <v>-479.96561078148682</v>
      </c>
      <c r="AG62">
        <f>'MATERIAL BALANCE'!AJ5/(60*60*24)</f>
        <v>2.5133842481303409E-3</v>
      </c>
      <c r="AH62">
        <f t="shared" si="26"/>
        <v>-10.029494180075265</v>
      </c>
    </row>
    <row r="63" spans="1:36" ht="15" customHeight="1">
      <c r="A63" t="s">
        <v>24</v>
      </c>
      <c r="B63">
        <f>('MATERIAL BALANCE'!U9)/(24*60*60)</f>
        <v>1.5822135416666664E-2</v>
      </c>
      <c r="E63">
        <v>3.3759999999999999</v>
      </c>
      <c r="F63">
        <v>0.55700000000000005</v>
      </c>
      <c r="G63">
        <v>0</v>
      </c>
      <c r="H63">
        <v>-3.1E-2</v>
      </c>
      <c r="J63">
        <f t="shared" si="19"/>
        <v>2954.0000000000005</v>
      </c>
      <c r="K63" s="3">
        <f t="shared" si="21"/>
        <v>358.53741875000009</v>
      </c>
      <c r="L63" s="3">
        <f t="shared" si="20"/>
        <v>0</v>
      </c>
      <c r="M63">
        <f t="shared" si="16"/>
        <v>7.7549926088487746</v>
      </c>
      <c r="O63">
        <f t="shared" si="17"/>
        <v>3320.2924113588492</v>
      </c>
      <c r="P63">
        <f t="shared" si="18"/>
        <v>436.76864171641466</v>
      </c>
      <c r="R63" s="10"/>
      <c r="T63" t="s">
        <v>18</v>
      </c>
      <c r="V63">
        <v>1.702</v>
      </c>
      <c r="W63">
        <v>9.0809999999999995</v>
      </c>
      <c r="X63">
        <v>-2.1640000000000001</v>
      </c>
      <c r="Y63">
        <v>0</v>
      </c>
      <c r="AA63">
        <f t="shared" si="22"/>
        <v>-204.24</v>
      </c>
      <c r="AB63" s="3">
        <f t="shared" si="23"/>
        <v>-395.73181800000003</v>
      </c>
      <c r="AC63" s="3">
        <f t="shared" si="24"/>
        <v>34.557674914799996</v>
      </c>
      <c r="AD63">
        <f t="shared" si="25"/>
        <v>0</v>
      </c>
      <c r="AF63">
        <f t="shared" si="1"/>
        <v>-565.41414308519995</v>
      </c>
      <c r="AG63">
        <f>'MATERIAL BALANCE'!AJ7/(60*60*24)</f>
        <v>2.4094328703703726E-4</v>
      </c>
      <c r="AH63">
        <f t="shared" si="26"/>
        <v>-1.1326390184194861</v>
      </c>
    </row>
    <row r="64" spans="1:36" ht="15" customHeight="1">
      <c r="A64" t="s">
        <v>19</v>
      </c>
      <c r="B64">
        <f>('MATERIAL BALANCE'!U10)/(24*60*60)</f>
        <v>3.694502314814814E-2</v>
      </c>
      <c r="E64">
        <v>3.47</v>
      </c>
      <c r="F64">
        <v>1.45</v>
      </c>
      <c r="G64">
        <v>0</v>
      </c>
      <c r="H64">
        <v>0.121</v>
      </c>
      <c r="J64">
        <f t="shared" si="19"/>
        <v>3036.2500000000005</v>
      </c>
      <c r="K64" s="3">
        <f t="shared" si="21"/>
        <v>933.35593749999998</v>
      </c>
      <c r="L64" s="3">
        <f t="shared" si="20"/>
        <v>0</v>
      </c>
      <c r="M64">
        <f t="shared" si="16"/>
        <v>-30.269487279700055</v>
      </c>
      <c r="O64">
        <f t="shared" si="17"/>
        <v>3939.3364502203003</v>
      </c>
      <c r="P64">
        <f t="shared" si="18"/>
        <v>1210.010217905166</v>
      </c>
      <c r="Q64" s="4">
        <f>SUM(P59:P65)</f>
        <v>3403.0604523002089</v>
      </c>
      <c r="R64" s="10"/>
      <c r="T64" t="s">
        <v>26</v>
      </c>
      <c r="V64">
        <v>3.2490000000000001</v>
      </c>
      <c r="W64">
        <v>0.42199999999999999</v>
      </c>
      <c r="X64">
        <v>0</v>
      </c>
      <c r="Y64">
        <v>8.3000000000000004E-2</v>
      </c>
      <c r="AA64">
        <f t="shared" si="22"/>
        <v>-389.88</v>
      </c>
      <c r="AB64" s="3">
        <f t="shared" si="23"/>
        <v>-18.389915999999999</v>
      </c>
      <c r="AC64" s="3">
        <f t="shared" si="24"/>
        <v>0</v>
      </c>
      <c r="AD64">
        <f t="shared" si="25"/>
        <v>7.7643914134951819</v>
      </c>
      <c r="AF64">
        <f t="shared" si="1"/>
        <v>-400.50552458650481</v>
      </c>
      <c r="AG64">
        <f>'MATERIAL BALANCE'!AJ8/(60*60*24)</f>
        <v>5.7919512442129624E-2</v>
      </c>
      <c r="AH64">
        <f t="shared" si="26"/>
        <v>-192.86056231576868</v>
      </c>
    </row>
    <row r="65" spans="1:36" ht="15" customHeight="1">
      <c r="A65" t="s">
        <v>28</v>
      </c>
      <c r="B65">
        <f>('MATERIAL BALANCE'!U6)/(24*60*60)</f>
        <v>2.2662037037037035E-4</v>
      </c>
      <c r="E65">
        <v>20.786000000000001</v>
      </c>
      <c r="F65">
        <v>1.2300000000000001E-4</v>
      </c>
      <c r="G65">
        <f>-0.136</f>
        <v>-0.13600000000000001</v>
      </c>
      <c r="H65">
        <v>0</v>
      </c>
      <c r="J65">
        <f>-1*E65*($B$22-$C$58)</f>
        <v>18187.750000000004</v>
      </c>
      <c r="K65" s="3">
        <f>-1*(F65*$F$8*($B$22^2-$C$58^2))*(1/2)</f>
        <v>7.9174331250000007E-2</v>
      </c>
      <c r="L65" s="3">
        <f>-1*(1/3)*G65*$G$8*($B$22^3-$C$58^3)</f>
        <v>-71.992977694166683</v>
      </c>
      <c r="M65">
        <f t="shared" si="16"/>
        <v>0</v>
      </c>
      <c r="O65">
        <f t="shared" si="17"/>
        <v>18115.836196637087</v>
      </c>
      <c r="P65">
        <f t="shared" si="18"/>
        <v>34.132441165260438</v>
      </c>
      <c r="R65" s="10"/>
      <c r="T65" t="s">
        <v>70</v>
      </c>
      <c r="V65">
        <v>3.3759999999999999</v>
      </c>
      <c r="W65">
        <v>0.55700000000000005</v>
      </c>
      <c r="X65">
        <v>0</v>
      </c>
      <c r="Y65">
        <v>-3.1E-2</v>
      </c>
      <c r="AA65">
        <f t="shared" si="22"/>
        <v>-405.12</v>
      </c>
      <c r="AB65" s="3">
        <f t="shared" si="23"/>
        <v>-24.272946000000005</v>
      </c>
      <c r="AC65" s="3">
        <f t="shared" si="24"/>
        <v>0</v>
      </c>
      <c r="AD65">
        <f t="shared" si="25"/>
        <v>-2.8999534194982002</v>
      </c>
      <c r="AF65">
        <f t="shared" si="1"/>
        <v>-432.29289941949821</v>
      </c>
      <c r="AG65">
        <f>'MATERIAL BALANCE'!AJ9/(60*60*24)</f>
        <v>7.9110677083333398E-4</v>
      </c>
      <c r="AH65">
        <f t="shared" si="26"/>
        <v>-2.8433035273816847</v>
      </c>
    </row>
    <row r="66" spans="1:36" ht="15" customHeight="1">
      <c r="P66" t="s">
        <v>54</v>
      </c>
      <c r="Q66" s="8">
        <f>(Q64+Q52+Q48)+(E43*('MATERIAL BALANCE'!T14)*1000/(60*60*24))</f>
        <v>-192.9597142117083</v>
      </c>
      <c r="R66" s="10"/>
      <c r="T66" t="s">
        <v>19</v>
      </c>
      <c r="U66">
        <f>-42.8*B173*1000</f>
        <v>-294.59093865740726</v>
      </c>
      <c r="V66">
        <v>3.47</v>
      </c>
      <c r="W66">
        <v>1.45</v>
      </c>
      <c r="X66">
        <v>0</v>
      </c>
      <c r="Y66">
        <v>0.121</v>
      </c>
      <c r="AA66">
        <f t="shared" si="22"/>
        <v>-416.40000000000003</v>
      </c>
      <c r="AB66" s="3">
        <f t="shared" si="23"/>
        <v>-63.188099999999999</v>
      </c>
      <c r="AC66" s="3">
        <f t="shared" si="24"/>
        <v>0</v>
      </c>
      <c r="AD66">
        <f t="shared" si="25"/>
        <v>11.319173024492976</v>
      </c>
      <c r="AF66">
        <f t="shared" si="1"/>
        <v>-468.2689269755071</v>
      </c>
      <c r="AG66">
        <f>'MATERIAL BALANCE'!AJ10/(60*60*24)</f>
        <v>6.8829658564814782E-3</v>
      </c>
      <c r="AH66">
        <f t="shared" si="26"/>
        <v>-26.796679105500495</v>
      </c>
    </row>
    <row r="67" spans="1:36" ht="15" customHeight="1">
      <c r="R67" s="10"/>
      <c r="T67" t="s">
        <v>28</v>
      </c>
      <c r="V67">
        <v>20.786000000000001</v>
      </c>
      <c r="W67">
        <v>0.123</v>
      </c>
      <c r="X67">
        <f>-0.136</f>
        <v>-0.13600000000000001</v>
      </c>
      <c r="Y67">
        <v>0</v>
      </c>
      <c r="AA67">
        <f t="shared" si="22"/>
        <v>-2494.3200000000002</v>
      </c>
      <c r="AB67" s="3">
        <f t="shared" si="23"/>
        <v>-5.3600940000000001</v>
      </c>
      <c r="AC67" s="3">
        <f t="shared" si="24"/>
        <v>2.1718316951999999</v>
      </c>
      <c r="AD67">
        <f t="shared" si="25"/>
        <v>0</v>
      </c>
      <c r="AF67">
        <f>SUM(AA67:AD67)</f>
        <v>-2497.5082623048002</v>
      </c>
      <c r="AG67">
        <f>'MATERIAL BALANCE'!AJ6/(60*60*24)</f>
        <v>2.2662037037037035E-4</v>
      </c>
      <c r="AH67">
        <f t="shared" si="26"/>
        <v>-4.7056096609382552</v>
      </c>
      <c r="AI67" s="11">
        <f>SUM(AH61:AH67)+U66</f>
        <v>-599.68491296358798</v>
      </c>
      <c r="AJ67" t="s">
        <v>54</v>
      </c>
    </row>
    <row r="68" spans="1:36" ht="15" customHeight="1">
      <c r="F68" s="13" t="s">
        <v>71</v>
      </c>
      <c r="R68" s="10"/>
      <c r="AB68" s="3"/>
      <c r="AC68" s="3"/>
      <c r="AI68" s="11"/>
    </row>
    <row r="69" spans="1:36" ht="15" customHeight="1">
      <c r="R69" s="10"/>
      <c r="T69" s="13" t="s">
        <v>60</v>
      </c>
      <c r="U69" s="17" t="s">
        <v>72</v>
      </c>
    </row>
    <row r="70" spans="1:36" ht="15" customHeight="1">
      <c r="A70" t="s">
        <v>58</v>
      </c>
      <c r="D70" t="s">
        <v>59</v>
      </c>
      <c r="E70">
        <f>-41</f>
        <v>-41</v>
      </c>
      <c r="R70" s="10"/>
    </row>
    <row r="71" spans="1:36" ht="15" customHeight="1">
      <c r="R71" s="10"/>
      <c r="T71" t="s">
        <v>42</v>
      </c>
      <c r="U71">
        <v>450</v>
      </c>
      <c r="V71">
        <f>U71+273.15</f>
        <v>723.15</v>
      </c>
    </row>
    <row r="72" spans="1:36" ht="15" customHeight="1">
      <c r="B72">
        <v>350</v>
      </c>
      <c r="C72">
        <f>273.15+B72</f>
        <v>623.15</v>
      </c>
      <c r="K72" s="3"/>
      <c r="L72" s="3"/>
      <c r="R72" s="10"/>
      <c r="T72" t="s">
        <v>43</v>
      </c>
      <c r="U72">
        <v>-20</v>
      </c>
      <c r="V72">
        <f>U72+273.15</f>
        <v>253.14999999999998</v>
      </c>
    </row>
    <row r="73" spans="1:36" ht="15" customHeight="1">
      <c r="A73" t="s">
        <v>20</v>
      </c>
      <c r="B73">
        <f>('MATERIAL BALANCE'!X4)/(60*24*60)</f>
        <v>1.930648148148148E-2</v>
      </c>
      <c r="E73">
        <v>3.28</v>
      </c>
      <c r="F73">
        <v>0.59299999999999997</v>
      </c>
      <c r="G73">
        <v>0</v>
      </c>
      <c r="H73">
        <v>0.04</v>
      </c>
      <c r="J73">
        <f t="shared" ref="J73:J79" si="27">E73*($B$22-$C$72)</f>
        <v>-1066</v>
      </c>
      <c r="K73" s="3">
        <f t="shared" ref="K73:K79" si="28">(F73*$F$8*($B$22^2-$C$72^2))*(1/2)</f>
        <v>-88.778771250000005</v>
      </c>
      <c r="L73" s="3">
        <f t="shared" ref="L73:L79" si="29">(1/3)*G73*$G$8*($B$22^3-$C$72^3)</f>
        <v>0</v>
      </c>
      <c r="M73">
        <f t="shared" ref="M73:M79" si="30">H73*$H$8*(1/$B$22-1/$C$72)</f>
        <v>6.9970654980096123</v>
      </c>
      <c r="O73">
        <f t="shared" ref="O73:O79" si="31">SUM(J73:M73)</f>
        <v>-1147.7817057519906</v>
      </c>
      <c r="P73">
        <f t="shared" ref="P73:P79" si="32">O73*B73*$K$6</f>
        <v>-184.23513261659383</v>
      </c>
      <c r="R73" s="10"/>
    </row>
    <row r="74" spans="1:36" ht="15" customHeight="1">
      <c r="A74" t="s">
        <v>25</v>
      </c>
      <c r="B74">
        <f>('MATERIAL BALANCE'!X5)/(60*24*60)</f>
        <v>2.9089376335470077E-3</v>
      </c>
      <c r="E74">
        <v>3.6389999999999998</v>
      </c>
      <c r="F74">
        <v>0.50600000000000001</v>
      </c>
      <c r="G74">
        <v>0</v>
      </c>
      <c r="H74">
        <v>-0.22700000000000001</v>
      </c>
      <c r="J74">
        <f t="shared" si="27"/>
        <v>-1182.675</v>
      </c>
      <c r="K74" s="3">
        <f t="shared" si="28"/>
        <v>-75.753892500000006</v>
      </c>
      <c r="L74" s="3">
        <f t="shared" si="29"/>
        <v>0</v>
      </c>
      <c r="M74">
        <f t="shared" si="30"/>
        <v>-39.708346701204547</v>
      </c>
      <c r="O74">
        <f t="shared" si="31"/>
        <v>-1298.1372392012047</v>
      </c>
      <c r="P74">
        <f t="shared" si="32"/>
        <v>-31.395329033316642</v>
      </c>
      <c r="R74" s="10"/>
    </row>
    <row r="75" spans="1:36" ht="15" customHeight="1">
      <c r="A75" t="s">
        <v>18</v>
      </c>
      <c r="B75">
        <f>('MATERIAL BALANCE'!X7)/(60*24*60)</f>
        <v>2.4094328703703726E-4</v>
      </c>
      <c r="E75">
        <v>1.702</v>
      </c>
      <c r="F75">
        <v>9.0809999999999995</v>
      </c>
      <c r="G75">
        <v>-2.1640000000000001</v>
      </c>
      <c r="H75">
        <v>0</v>
      </c>
      <c r="J75">
        <f t="shared" si="27"/>
        <v>-553.15</v>
      </c>
      <c r="K75" s="3">
        <f t="shared" si="28"/>
        <v>-1359.5278612500001</v>
      </c>
      <c r="L75" s="3">
        <f t="shared" si="29"/>
        <v>155.42965575258336</v>
      </c>
      <c r="M75">
        <f t="shared" si="30"/>
        <v>0</v>
      </c>
      <c r="O75">
        <f t="shared" si="31"/>
        <v>-1757.2482054974168</v>
      </c>
      <c r="P75">
        <f t="shared" si="32"/>
        <v>-3.5201239780344213</v>
      </c>
      <c r="R75" s="10"/>
      <c r="T75" t="s">
        <v>20</v>
      </c>
      <c r="V75">
        <f>V61</f>
        <v>3.28</v>
      </c>
      <c r="W75">
        <f>W61</f>
        <v>0.59299999999999997</v>
      </c>
      <c r="X75">
        <f>X61</f>
        <v>0</v>
      </c>
      <c r="Y75">
        <f>Y61</f>
        <v>0.04</v>
      </c>
      <c r="AA75">
        <f>V75*($V$72-$V$71)</f>
        <v>-1541.6</v>
      </c>
      <c r="AB75" s="3">
        <f>W75*$W$8*($V$72^2-$V$71^2)*(1/2)</f>
        <v>-136.05228650000001</v>
      </c>
      <c r="AC75">
        <f>(1/3)*X75*$X$8*($V$72^3-$V$71^3)</f>
        <v>0</v>
      </c>
      <c r="AD75">
        <f>Y75*$Y$8*(1/$V$72-1/$V$71)</f>
        <v>10.269552678633236</v>
      </c>
      <c r="AF75">
        <f>SUM(AA75:AD75)</f>
        <v>-1667.3827338213666</v>
      </c>
      <c r="AG75">
        <f>'MATERIAL BALANCE'!AW4/(60*60*24)</f>
        <v>0.10637935729847493</v>
      </c>
      <c r="AH75">
        <f>AF75*AG75*8.314</f>
        <v>-1474.6966112845989</v>
      </c>
    </row>
    <row r="76" spans="1:36" ht="15" customHeight="1">
      <c r="A76" t="s">
        <v>26</v>
      </c>
      <c r="B76">
        <f>('MATERIAL BALANCE'!X8)/(60*24*60)</f>
        <v>4.2888483796296291E-2</v>
      </c>
      <c r="E76">
        <v>3.2490000000000001</v>
      </c>
      <c r="F76">
        <v>0.42199999999999999</v>
      </c>
      <c r="G76">
        <v>0</v>
      </c>
      <c r="H76">
        <v>8.3000000000000004E-2</v>
      </c>
      <c r="J76">
        <f t="shared" si="27"/>
        <v>-1055.925</v>
      </c>
      <c r="K76" s="3">
        <f t="shared" si="28"/>
        <v>-63.178147500000001</v>
      </c>
      <c r="L76" s="3">
        <f t="shared" si="29"/>
        <v>0</v>
      </c>
      <c r="M76">
        <f t="shared" si="30"/>
        <v>14.518910908369945</v>
      </c>
      <c r="O76">
        <f t="shared" si="31"/>
        <v>-1104.5842365916301</v>
      </c>
      <c r="P76">
        <f t="shared" si="32"/>
        <v>-393.86696320530467</v>
      </c>
      <c r="R76" s="10"/>
      <c r="T76" t="s">
        <v>26</v>
      </c>
      <c r="V76">
        <f>V64</f>
        <v>3.2490000000000001</v>
      </c>
      <c r="W76">
        <f>W64</f>
        <v>0.42199999999999999</v>
      </c>
      <c r="X76">
        <f>X64</f>
        <v>0</v>
      </c>
      <c r="Y76">
        <f>Y64</f>
        <v>8.3000000000000004E-2</v>
      </c>
      <c r="AA76">
        <f>V76*($V$72-$V$71)</f>
        <v>-1527.03</v>
      </c>
      <c r="AB76" s="3">
        <f>W76*$W$8*($V$72^2-$V$71^2)*(1/2)</f>
        <v>-96.819671</v>
      </c>
      <c r="AC76">
        <f>(1/3)*X76*$X$8*($V$72^3-$V$71^3)</f>
        <v>0</v>
      </c>
      <c r="AD76">
        <f>Y76*$Y$8*(1/$V$72-1/$V$71)</f>
        <v>21.309321808163965</v>
      </c>
      <c r="AF76">
        <f>SUM(AA76:AD76)</f>
        <v>-1602.540349191836</v>
      </c>
      <c r="AG76">
        <f>'MATERIAL BALANCE'!AW5/(60*60*24)</f>
        <v>0.31913807189542481</v>
      </c>
      <c r="AH76">
        <f>AF76*AG76*8.314</f>
        <v>-4252.0426314787974</v>
      </c>
    </row>
    <row r="77" spans="1:36" ht="15" customHeight="1">
      <c r="A77" t="s">
        <v>24</v>
      </c>
      <c r="B77">
        <f>('MATERIAL BALANCE'!X9)/(60*24*60)</f>
        <v>1.5822135416666664E-2</v>
      </c>
      <c r="E77">
        <v>3.3759999999999999</v>
      </c>
      <c r="F77">
        <v>0.55700000000000005</v>
      </c>
      <c r="G77">
        <v>0</v>
      </c>
      <c r="H77">
        <v>-3.1E-2</v>
      </c>
      <c r="J77">
        <f t="shared" si="27"/>
        <v>-1097.2</v>
      </c>
      <c r="K77" s="3">
        <f t="shared" si="28"/>
        <v>-83.389166250000017</v>
      </c>
      <c r="L77" s="3">
        <f t="shared" si="29"/>
        <v>0</v>
      </c>
      <c r="M77">
        <f t="shared" si="30"/>
        <v>-5.4227257609574497</v>
      </c>
      <c r="O77">
        <f t="shared" si="31"/>
        <v>-1186.0118920109576</v>
      </c>
      <c r="P77">
        <f t="shared" si="32"/>
        <v>-156.01421168840406</v>
      </c>
      <c r="R77" s="10"/>
      <c r="T77" t="s">
        <v>21</v>
      </c>
      <c r="U77">
        <f>-23.5*B191*1000</f>
        <v>-799.97276688453155</v>
      </c>
      <c r="V77">
        <v>29.75</v>
      </c>
      <c r="W77">
        <v>2.54</v>
      </c>
      <c r="X77">
        <f>-1.226</f>
        <v>-1.226</v>
      </c>
      <c r="Y77">
        <f>7.55</f>
        <v>7.55</v>
      </c>
      <c r="AA77">
        <f>V77*($V$72-$V$71)</f>
        <v>-13982.5</v>
      </c>
      <c r="AB77" s="3">
        <f>W77*$W$8*($V$72^2-$V$71^2)*(1/2)</f>
        <v>-582.75346999999999</v>
      </c>
      <c r="AC77">
        <f>(1/3)*X77*$X$8*($V$72^3-$V$71^3)</f>
        <v>147.91495708628329</v>
      </c>
      <c r="AD77">
        <f>Y77*$Y$8*(1/$V$72-1/$V$71)</f>
        <v>1938.3780680920233</v>
      </c>
      <c r="AF77">
        <f>SUM(AA77:AD77)+U77</f>
        <v>-13278.933211706226</v>
      </c>
      <c r="AG77">
        <f>'MATERIAL BALANCE'!BG5/(60*60*24)</f>
        <v>3.4041394335511982E-2</v>
      </c>
      <c r="AH77">
        <f>AF77*AG77*8.314</f>
        <v>-3758.205702686736</v>
      </c>
    </row>
    <row r="78" spans="1:36" ht="15" customHeight="1">
      <c r="A78" t="s">
        <v>19</v>
      </c>
      <c r="B78">
        <f>('MATERIAL BALANCE'!X10)/(60*24*60)</f>
        <v>3.694502314814814E-2</v>
      </c>
      <c r="E78">
        <v>3.47</v>
      </c>
      <c r="F78">
        <v>1.45</v>
      </c>
      <c r="G78">
        <v>0</v>
      </c>
      <c r="H78">
        <v>0.121</v>
      </c>
      <c r="J78">
        <f t="shared" si="27"/>
        <v>-1127.75</v>
      </c>
      <c r="K78" s="3">
        <f t="shared" si="28"/>
        <v>-217.0813125</v>
      </c>
      <c r="L78" s="3">
        <f t="shared" si="29"/>
        <v>0</v>
      </c>
      <c r="M78">
        <f t="shared" si="30"/>
        <v>21.166123131479075</v>
      </c>
      <c r="O78">
        <f t="shared" si="31"/>
        <v>-1323.6651893685209</v>
      </c>
      <c r="P78">
        <f t="shared" si="32"/>
        <v>-406.5782205862912</v>
      </c>
      <c r="Q78" s="4">
        <f>SUM(P73:P79)</f>
        <v>-1188.3197016213687</v>
      </c>
      <c r="R78" s="10"/>
      <c r="T78" t="s">
        <v>28</v>
      </c>
      <c r="V78">
        <v>20.786000000000001</v>
      </c>
      <c r="W78">
        <v>0.123</v>
      </c>
      <c r="X78">
        <f>-0.136</f>
        <v>-0.13600000000000001</v>
      </c>
      <c r="Y78">
        <v>0</v>
      </c>
      <c r="AA78">
        <f>V78*($V$72-$V$71)</f>
        <v>-9769.42</v>
      </c>
      <c r="AB78" s="3">
        <f>W78*$W$8*($V$72^2-$V$71^2)*(1/2)</f>
        <v>-28.219951500000001</v>
      </c>
      <c r="AC78">
        <f>(1/3)*X78*$X$8*($V$72^3-$V$71^3)</f>
        <v>16.408184472866665</v>
      </c>
      <c r="AD78">
        <f>Y78*$Y$8*(1/$V$72-1/$V$71)</f>
        <v>0</v>
      </c>
      <c r="AF78">
        <f>SUM(AA78:AD78)+U78</f>
        <v>-9781.2317670271332</v>
      </c>
      <c r="AG78">
        <f>'MATERIAL BALANCE'!AW6/(60*60*24)</f>
        <v>1.2464120370370368E-3</v>
      </c>
      <c r="AH78">
        <f>AF78*AG78*8.314</f>
        <v>-101.35967382537542</v>
      </c>
      <c r="AI78" s="11">
        <f>SUM(AH75:AH78)+U77</f>
        <v>-10386.27738616004</v>
      </c>
      <c r="AJ78" t="s">
        <v>54</v>
      </c>
    </row>
    <row r="79" spans="1:36" ht="15" customHeight="1">
      <c r="A79" t="s">
        <v>28</v>
      </c>
      <c r="B79">
        <f>('MATERIAL BALANCE'!X6)/(60*24*60)</f>
        <v>2.2662037037037035E-4</v>
      </c>
      <c r="E79">
        <v>20.786000000000001</v>
      </c>
      <c r="F79">
        <v>1.2300000000000001E-4</v>
      </c>
      <c r="G79">
        <f>-0.136</f>
        <v>-0.13600000000000001</v>
      </c>
      <c r="H79">
        <v>0</v>
      </c>
      <c r="J79">
        <f t="shared" si="27"/>
        <v>-6755.4500000000007</v>
      </c>
      <c r="K79" s="3">
        <f t="shared" si="28"/>
        <v>-1.8414483750000002E-2</v>
      </c>
      <c r="L79" s="3">
        <f t="shared" si="29"/>
        <v>9.7682223578333343</v>
      </c>
      <c r="M79">
        <f t="shared" si="30"/>
        <v>0</v>
      </c>
      <c r="O79">
        <f t="shared" si="31"/>
        <v>-6745.700192125918</v>
      </c>
      <c r="P79">
        <f t="shared" si="32"/>
        <v>-12.709720513423807</v>
      </c>
      <c r="R79" s="10"/>
    </row>
    <row r="80" spans="1:36" ht="15" customHeight="1">
      <c r="R80" s="10"/>
    </row>
    <row r="81" spans="1:22" ht="15" customHeight="1">
      <c r="A81" t="s">
        <v>63</v>
      </c>
      <c r="R81" s="10"/>
    </row>
    <row r="82" spans="1:22" ht="15" customHeight="1">
      <c r="R82" s="10"/>
    </row>
    <row r="83" spans="1:22" ht="15" customHeight="1">
      <c r="A83" t="s">
        <v>73</v>
      </c>
      <c r="B83">
        <v>350</v>
      </c>
      <c r="C83">
        <f>273.15+B83</f>
        <v>623.15</v>
      </c>
      <c r="R83" s="10"/>
      <c r="T83" t="s">
        <v>74</v>
      </c>
      <c r="V83">
        <f>AI78+AI67+AI53+AI37+AI22+AI10+Q19+Q40+Q66+Q93+Q127+Q152+Q194</f>
        <v>-9493.2864330087941</v>
      </c>
    </row>
    <row r="84" spans="1:22" ht="15" customHeight="1">
      <c r="R84" s="10"/>
    </row>
    <row r="85" spans="1:22" ht="15" customHeight="1">
      <c r="A85" t="s">
        <v>20</v>
      </c>
      <c r="B85">
        <f>('MATERIAL BALANCE'!Z4)/(24*60*60)</f>
        <v>1.930648148148148E-2</v>
      </c>
      <c r="E85">
        <v>3.28</v>
      </c>
      <c r="F85">
        <v>0.59299999999999997</v>
      </c>
      <c r="G85">
        <v>0</v>
      </c>
      <c r="H85">
        <v>0.04</v>
      </c>
      <c r="J85">
        <f t="shared" ref="J85:J92" si="33">-1*E85*($B$22-$C$83)</f>
        <v>1066</v>
      </c>
      <c r="K85" s="3">
        <f t="shared" ref="K85:K92" si="34">-1*(F85*$F$8*($B$22^2-$C$83^2))*(1/2)</f>
        <v>88.778771250000005</v>
      </c>
      <c r="L85" s="3">
        <f t="shared" ref="L85:L92" si="35">-1*(1/3)*G85*$G$8*($B$22^3-$C$83^3)</f>
        <v>0</v>
      </c>
      <c r="M85">
        <f t="shared" ref="M85:M92" si="36">-1*H85*$H$8*(1/$B$22-1/$C$83)</f>
        <v>-6.9970654980096123</v>
      </c>
      <c r="O85">
        <f t="shared" ref="O85:O92" si="37">SUM(J85:M85)</f>
        <v>1147.7817057519906</v>
      </c>
      <c r="P85">
        <f t="shared" ref="P85:P92" si="38">O85*B85*$K$6</f>
        <v>184.23513261659383</v>
      </c>
      <c r="R85" s="10"/>
    </row>
    <row r="86" spans="1:22" ht="15" customHeight="1">
      <c r="A86" t="s">
        <v>25</v>
      </c>
      <c r="B86">
        <f>('MATERIAL BALANCE'!Z5)/(24*60*60)</f>
        <v>2.9089376335470077E-3</v>
      </c>
      <c r="E86">
        <v>3.6389999999999998</v>
      </c>
      <c r="F86">
        <v>0.50600000000000001</v>
      </c>
      <c r="G86">
        <v>0</v>
      </c>
      <c r="H86">
        <v>-0.22700000000000001</v>
      </c>
      <c r="J86">
        <f t="shared" si="33"/>
        <v>1182.675</v>
      </c>
      <c r="K86" s="3">
        <f t="shared" si="34"/>
        <v>75.753892500000006</v>
      </c>
      <c r="L86" s="3">
        <f t="shared" si="35"/>
        <v>0</v>
      </c>
      <c r="M86">
        <f t="shared" si="36"/>
        <v>39.708346701204547</v>
      </c>
      <c r="O86">
        <f t="shared" si="37"/>
        <v>1298.1372392012047</v>
      </c>
      <c r="P86">
        <f t="shared" si="38"/>
        <v>31.395329033316642</v>
      </c>
      <c r="R86" s="10"/>
    </row>
    <row r="87" spans="1:22" ht="15" customHeight="1">
      <c r="A87" t="s">
        <v>18</v>
      </c>
      <c r="B87">
        <f>('MATERIAL BALANCE'!Z7)/(24*60*60)</f>
        <v>2.4094328703703726E-4</v>
      </c>
      <c r="E87">
        <v>1.702</v>
      </c>
      <c r="F87">
        <v>9.0809999999999995</v>
      </c>
      <c r="G87">
        <v>-2.1640000000000001</v>
      </c>
      <c r="H87">
        <v>0</v>
      </c>
      <c r="J87">
        <f t="shared" si="33"/>
        <v>553.15</v>
      </c>
      <c r="K87" s="3">
        <f t="shared" si="34"/>
        <v>1359.5278612500001</v>
      </c>
      <c r="L87" s="3">
        <f t="shared" si="35"/>
        <v>-155.42965575258336</v>
      </c>
      <c r="M87">
        <f t="shared" si="36"/>
        <v>0</v>
      </c>
      <c r="O87">
        <f t="shared" si="37"/>
        <v>1757.2482054974168</v>
      </c>
      <c r="P87">
        <f t="shared" si="38"/>
        <v>3.5201239780344213</v>
      </c>
      <c r="R87" s="10"/>
    </row>
    <row r="88" spans="1:22" ht="15" customHeight="1">
      <c r="A88" t="s">
        <v>26</v>
      </c>
      <c r="B88">
        <f>('MATERIAL BALANCE'!Z8)/(24*60*60)</f>
        <v>5.7919512442129624E-2</v>
      </c>
      <c r="E88">
        <v>3.2490000000000001</v>
      </c>
      <c r="F88">
        <v>0.42199999999999999</v>
      </c>
      <c r="G88">
        <v>0</v>
      </c>
      <c r="H88">
        <v>8.3000000000000004E-2</v>
      </c>
      <c r="J88">
        <f t="shared" si="33"/>
        <v>1055.925</v>
      </c>
      <c r="K88" s="3">
        <f t="shared" si="34"/>
        <v>63.178147500000001</v>
      </c>
      <c r="L88" s="3">
        <f t="shared" si="35"/>
        <v>0</v>
      </c>
      <c r="M88">
        <f t="shared" si="36"/>
        <v>-14.518910908369945</v>
      </c>
      <c r="O88">
        <f t="shared" si="37"/>
        <v>1104.5842365916301</v>
      </c>
      <c r="P88">
        <f t="shared" si="38"/>
        <v>531.90461533367318</v>
      </c>
      <c r="R88" s="10"/>
    </row>
    <row r="89" spans="1:22" ht="15" customHeight="1">
      <c r="A89" t="s">
        <v>24</v>
      </c>
      <c r="B89">
        <f>('MATERIAL BALANCE'!Z9)/(24*60*60)</f>
        <v>7.9110677083333398E-4</v>
      </c>
      <c r="E89">
        <v>3.3759999999999999</v>
      </c>
      <c r="F89">
        <v>0.55700000000000005</v>
      </c>
      <c r="G89">
        <v>0</v>
      </c>
      <c r="H89">
        <v>-3.1E-2</v>
      </c>
      <c r="J89">
        <f t="shared" si="33"/>
        <v>1097.2</v>
      </c>
      <c r="K89" s="3">
        <f t="shared" si="34"/>
        <v>83.389166250000017</v>
      </c>
      <c r="L89" s="3">
        <f t="shared" si="35"/>
        <v>0</v>
      </c>
      <c r="M89">
        <f t="shared" si="36"/>
        <v>5.4227257609574497</v>
      </c>
      <c r="O89">
        <f t="shared" si="37"/>
        <v>1186.0118920109576</v>
      </c>
      <c r="P89">
        <f t="shared" si="38"/>
        <v>7.8007105844202105</v>
      </c>
      <c r="R89" s="10"/>
    </row>
    <row r="90" spans="1:22" ht="15" customHeight="1">
      <c r="A90" t="s">
        <v>19</v>
      </c>
      <c r="B90">
        <f>('MATERIAL BALANCE'!Z10)/(24*60*60)</f>
        <v>2.191399450231481E-2</v>
      </c>
      <c r="E90">
        <v>3.47</v>
      </c>
      <c r="F90">
        <v>1.45</v>
      </c>
      <c r="G90">
        <v>0</v>
      </c>
      <c r="H90">
        <v>0.121</v>
      </c>
      <c r="J90">
        <f t="shared" si="33"/>
        <v>1127.75</v>
      </c>
      <c r="K90" s="3">
        <f t="shared" si="34"/>
        <v>217.0813125</v>
      </c>
      <c r="L90" s="3">
        <f t="shared" si="35"/>
        <v>0</v>
      </c>
      <c r="M90">
        <f t="shared" si="36"/>
        <v>-21.166123131479075</v>
      </c>
      <c r="O90">
        <f t="shared" si="37"/>
        <v>1323.6651893685209</v>
      </c>
      <c r="P90">
        <f t="shared" si="38"/>
        <v>241.16246605019444</v>
      </c>
      <c r="R90" s="10"/>
    </row>
    <row r="91" spans="1:22" ht="15" customHeight="1">
      <c r="A91" t="s">
        <v>29</v>
      </c>
      <c r="B91">
        <f>('MATERIAL BALANCE'!Z11)/(24*60*60)</f>
        <v>1.5031028645833331E-2</v>
      </c>
      <c r="E91">
        <v>5.4569999999999999</v>
      </c>
      <c r="F91">
        <v>1.0449999999999999</v>
      </c>
      <c r="G91">
        <v>0</v>
      </c>
      <c r="H91">
        <v>-1.157</v>
      </c>
      <c r="J91">
        <f t="shared" si="33"/>
        <v>1773.5249999999999</v>
      </c>
      <c r="K91" s="3">
        <f t="shared" si="34"/>
        <v>156.44825624999999</v>
      </c>
      <c r="L91" s="3">
        <f t="shared" si="35"/>
        <v>0</v>
      </c>
      <c r="M91">
        <f t="shared" si="36"/>
        <v>202.39011952992803</v>
      </c>
      <c r="O91">
        <f t="shared" si="37"/>
        <v>2132.363375779928</v>
      </c>
      <c r="P91">
        <f t="shared" si="38"/>
        <v>266.47712698257931</v>
      </c>
      <c r="Q91" s="4">
        <f>SUM(P85:P92)</f>
        <v>1279.2052250922359</v>
      </c>
      <c r="R91" s="10"/>
    </row>
    <row r="92" spans="1:22" ht="15" customHeight="1">
      <c r="A92" t="s">
        <v>28</v>
      </c>
      <c r="B92">
        <f>('MATERIAL BALANCE'!Z6)/(24*60*60)</f>
        <v>2.2662037037037035E-4</v>
      </c>
      <c r="E92">
        <v>20.786000000000001</v>
      </c>
      <c r="F92">
        <v>1.2300000000000001E-4</v>
      </c>
      <c r="G92">
        <f>-0.136</f>
        <v>-0.13600000000000001</v>
      </c>
      <c r="H92">
        <v>0</v>
      </c>
      <c r="J92">
        <f t="shared" si="33"/>
        <v>6755.4500000000007</v>
      </c>
      <c r="K92" s="3">
        <f t="shared" si="34"/>
        <v>1.8414483750000002E-2</v>
      </c>
      <c r="L92" s="3">
        <f t="shared" si="35"/>
        <v>-9.7682223578333343</v>
      </c>
      <c r="M92">
        <f t="shared" si="36"/>
        <v>0</v>
      </c>
      <c r="O92">
        <f t="shared" si="37"/>
        <v>6745.700192125918</v>
      </c>
      <c r="P92">
        <f t="shared" si="38"/>
        <v>12.709720513423807</v>
      </c>
      <c r="R92" s="10"/>
    </row>
    <row r="93" spans="1:22" ht="15" customHeight="1">
      <c r="P93" t="s">
        <v>54</v>
      </c>
      <c r="Q93" s="8">
        <f>(Q91+Q78)+ (E70*('MATERIAL BALANCE'!Y14)*1000/(60*60*24))</f>
        <v>-525.3866510082994</v>
      </c>
      <c r="R93" s="10"/>
    </row>
    <row r="94" spans="1:22" ht="15" customHeight="1">
      <c r="R94" s="10"/>
    </row>
    <row r="95" spans="1:22" ht="15" customHeight="1">
      <c r="R95" s="10"/>
    </row>
    <row r="96" spans="1:22" ht="15" customHeight="1">
      <c r="R96" s="10"/>
    </row>
    <row r="97" spans="1:18" ht="15" customHeight="1">
      <c r="F97" s="13" t="s">
        <v>75</v>
      </c>
      <c r="R97" s="10"/>
    </row>
    <row r="98" spans="1:18" ht="15" customHeight="1">
      <c r="R98" s="10"/>
    </row>
    <row r="99" spans="1:18" ht="15" customHeight="1">
      <c r="A99" t="s">
        <v>58</v>
      </c>
      <c r="R99" s="10"/>
    </row>
    <row r="100" spans="1:18" ht="15" customHeight="1">
      <c r="D100" t="s">
        <v>59</v>
      </c>
      <c r="E100">
        <f>-70</f>
        <v>-70</v>
      </c>
      <c r="R100" s="10"/>
    </row>
    <row r="101" spans="1:18" ht="15" customHeight="1">
      <c r="B101">
        <v>110</v>
      </c>
      <c r="C101">
        <f>273.15+B101</f>
        <v>383.15</v>
      </c>
      <c r="R101" s="10"/>
    </row>
    <row r="102" spans="1:18" ht="15" customHeight="1">
      <c r="R102" s="10"/>
    </row>
    <row r="103" spans="1:18" ht="15" customHeight="1">
      <c r="A103" t="s">
        <v>20</v>
      </c>
      <c r="B103">
        <f>('MATERIAL BALANCE'!AC4)/(60*60*24)</f>
        <v>1.930648148148148E-2</v>
      </c>
      <c r="E103">
        <v>3.28</v>
      </c>
      <c r="F103">
        <v>0.59299999999999997</v>
      </c>
      <c r="G103">
        <v>0</v>
      </c>
      <c r="H103">
        <v>0.04</v>
      </c>
      <c r="J103">
        <f t="shared" ref="J103:J110" si="39">E103*($B$22-$C$101)</f>
        <v>-278.8</v>
      </c>
      <c r="K103" s="3">
        <f t="shared" ref="K103:K110" si="40">(F103*$F$8*($B$22^2-$C$101^2))*(1/2)</f>
        <v>-17.170463250000001</v>
      </c>
      <c r="L103" s="3">
        <f t="shared" ref="L103:L110" si="41">(1/3)*G103*$G$8*($B$22^3-$C$101^3)</f>
        <v>0</v>
      </c>
      <c r="M103">
        <f t="shared" ref="M103:M110" si="42">H103*$H$8*(1/$B$22-1/$C$101)</f>
        <v>2.9762901938963342</v>
      </c>
      <c r="O103">
        <f t="shared" ref="O103:O110" si="43">SUM(J103:M103)</f>
        <v>-292.9941730561037</v>
      </c>
      <c r="P103">
        <f t="shared" ref="P103:P110" si="44">O103*B103*$K$6</f>
        <v>-47.029692195272119</v>
      </c>
      <c r="R103" s="10"/>
    </row>
    <row r="104" spans="1:18" ht="15" customHeight="1">
      <c r="A104" t="s">
        <v>25</v>
      </c>
      <c r="B104">
        <f>('MATERIAL BALANCE'!AC5)/(60*60*24)</f>
        <v>2.9089376335470077E-3</v>
      </c>
      <c r="E104">
        <v>3.6389999999999998</v>
      </c>
      <c r="F104">
        <v>0.50600000000000001</v>
      </c>
      <c r="G104">
        <v>0</v>
      </c>
      <c r="H104">
        <v>-0.22700000000000001</v>
      </c>
      <c r="J104">
        <f t="shared" si="39"/>
        <v>-309.315</v>
      </c>
      <c r="K104" s="3">
        <f t="shared" si="40"/>
        <v>-14.651356500000002</v>
      </c>
      <c r="L104" s="3">
        <f t="shared" si="41"/>
        <v>0</v>
      </c>
      <c r="M104">
        <f t="shared" si="42"/>
        <v>-16.890446850361698</v>
      </c>
      <c r="O104">
        <f t="shared" si="43"/>
        <v>-340.8568033503617</v>
      </c>
      <c r="P104">
        <f t="shared" si="44"/>
        <v>-8.2435902547669411</v>
      </c>
      <c r="R104" s="10"/>
    </row>
    <row r="105" spans="1:18" ht="15" customHeight="1">
      <c r="A105" t="s">
        <v>18</v>
      </c>
      <c r="B105">
        <f>('MATERIAL BALANCE'!AC7)/(60*60*24)</f>
        <v>2.4094328703703726E-4</v>
      </c>
      <c r="E105">
        <v>1.702</v>
      </c>
      <c r="F105">
        <v>9.0809999999999995</v>
      </c>
      <c r="G105">
        <v>-2.1640000000000001</v>
      </c>
      <c r="H105">
        <v>0</v>
      </c>
      <c r="J105">
        <f t="shared" si="39"/>
        <v>-144.66999999999999</v>
      </c>
      <c r="K105" s="3">
        <f t="shared" si="40"/>
        <v>-262.94262524999999</v>
      </c>
      <c r="L105" s="3">
        <f t="shared" si="41"/>
        <v>21.455590402983333</v>
      </c>
      <c r="M105">
        <f t="shared" si="42"/>
        <v>0</v>
      </c>
      <c r="O105">
        <f t="shared" si="43"/>
        <v>-386.15703484701663</v>
      </c>
      <c r="P105">
        <f t="shared" si="44"/>
        <v>-0.77355073312872147</v>
      </c>
      <c r="R105" s="10"/>
    </row>
    <row r="106" spans="1:18" ht="15" customHeight="1">
      <c r="A106" t="s">
        <v>26</v>
      </c>
      <c r="B106">
        <f>('MATERIAL BALANCE'!AC8)/(60*60*24)</f>
        <v>5.7919512442129624E-2</v>
      </c>
      <c r="E106">
        <v>3.2490000000000001</v>
      </c>
      <c r="F106">
        <v>0.42199999999999999</v>
      </c>
      <c r="G106">
        <v>0</v>
      </c>
      <c r="H106">
        <v>8.3000000000000004E-2</v>
      </c>
      <c r="J106">
        <f t="shared" si="39"/>
        <v>-276.16500000000002</v>
      </c>
      <c r="K106" s="3">
        <f t="shared" si="40"/>
        <v>-12.219115500000001</v>
      </c>
      <c r="L106" s="3">
        <f t="shared" si="41"/>
        <v>0</v>
      </c>
      <c r="M106">
        <f t="shared" si="42"/>
        <v>6.1758021523348932</v>
      </c>
      <c r="O106">
        <f t="shared" si="43"/>
        <v>-282.20831334766513</v>
      </c>
      <c r="P106">
        <f t="shared" si="44"/>
        <v>-135.89538885539079</v>
      </c>
      <c r="R106" s="10"/>
    </row>
    <row r="107" spans="1:18" ht="15" customHeight="1">
      <c r="A107" t="s">
        <v>24</v>
      </c>
      <c r="B107">
        <f>('MATERIAL BALANCE'!AC9)/(60*60*24)</f>
        <v>7.9110677083333398E-4</v>
      </c>
      <c r="E107">
        <v>3.3759999999999999</v>
      </c>
      <c r="F107">
        <v>0.55700000000000005</v>
      </c>
      <c r="G107">
        <v>0</v>
      </c>
      <c r="H107">
        <v>-3.1E-2</v>
      </c>
      <c r="J107">
        <f t="shared" si="39"/>
        <v>-286.95999999999998</v>
      </c>
      <c r="K107" s="3">
        <f t="shared" si="40"/>
        <v>-16.128074250000004</v>
      </c>
      <c r="L107" s="3">
        <f t="shared" si="41"/>
        <v>0</v>
      </c>
      <c r="M107">
        <f t="shared" si="42"/>
        <v>-2.3066249002696591</v>
      </c>
      <c r="O107">
        <f t="shared" si="43"/>
        <v>-305.39469915026962</v>
      </c>
      <c r="P107">
        <f t="shared" si="44"/>
        <v>-2.0086608558772561</v>
      </c>
      <c r="R107" s="10"/>
    </row>
    <row r="108" spans="1:18" ht="15" customHeight="1">
      <c r="A108" t="s">
        <v>19</v>
      </c>
      <c r="B108">
        <f>('MATERIAL BALANCE'!AC10)/(60*60*24)</f>
        <v>2.191399450231481E-2</v>
      </c>
      <c r="E108">
        <v>3.47</v>
      </c>
      <c r="F108">
        <v>1.45</v>
      </c>
      <c r="G108">
        <v>0</v>
      </c>
      <c r="H108">
        <v>0.121</v>
      </c>
      <c r="J108">
        <f t="shared" si="39"/>
        <v>-294.95</v>
      </c>
      <c r="K108" s="3">
        <f t="shared" si="40"/>
        <v>-41.9851125</v>
      </c>
      <c r="L108" s="3">
        <f t="shared" si="41"/>
        <v>0</v>
      </c>
      <c r="M108">
        <f t="shared" si="42"/>
        <v>9.0032778365364106</v>
      </c>
      <c r="O108">
        <f t="shared" si="43"/>
        <v>-327.93183466346358</v>
      </c>
      <c r="P108">
        <f t="shared" si="44"/>
        <v>-59.746868452085231</v>
      </c>
      <c r="R108" s="10"/>
    </row>
    <row r="109" spans="1:18" ht="15" customHeight="1">
      <c r="A109" t="s">
        <v>29</v>
      </c>
      <c r="B109">
        <f>('MATERIAL BALANCE'!AC11)/(60*60*24)</f>
        <v>1.5031028645833331E-2</v>
      </c>
      <c r="E109">
        <v>5.4569999999999999</v>
      </c>
      <c r="F109">
        <v>1.0449999999999999</v>
      </c>
      <c r="G109">
        <v>0</v>
      </c>
      <c r="H109">
        <v>-1.157</v>
      </c>
      <c r="J109">
        <f t="shared" si="39"/>
        <v>-463.84499999999997</v>
      </c>
      <c r="K109" s="3">
        <f t="shared" si="40"/>
        <v>-30.25823625</v>
      </c>
      <c r="L109" s="3">
        <f t="shared" si="41"/>
        <v>0</v>
      </c>
      <c r="M109">
        <f t="shared" si="42"/>
        <v>-86.089193858451466</v>
      </c>
      <c r="O109">
        <f t="shared" si="43"/>
        <v>-580.19243010845139</v>
      </c>
      <c r="P109">
        <f t="shared" si="44"/>
        <v>-72.5054714540818</v>
      </c>
      <c r="R109" s="10"/>
    </row>
    <row r="110" spans="1:18" ht="15" customHeight="1">
      <c r="A110" t="s">
        <v>28</v>
      </c>
      <c r="B110">
        <f>('MATERIAL BALANCE'!AC6)/(60*60*24)</f>
        <v>2.2662037037037035E-4</v>
      </c>
      <c r="E110">
        <v>20.786000000000001</v>
      </c>
      <c r="F110">
        <v>1.2300000000000001E-4</v>
      </c>
      <c r="G110">
        <f>-0.136</f>
        <v>-0.13600000000000001</v>
      </c>
      <c r="H110">
        <v>0</v>
      </c>
      <c r="J110">
        <f t="shared" si="39"/>
        <v>-1766.8100000000002</v>
      </c>
      <c r="K110" s="3">
        <f t="shared" si="40"/>
        <v>-3.5614957500000001E-3</v>
      </c>
      <c r="L110" s="3">
        <f t="shared" si="41"/>
        <v>1.3484104874333334</v>
      </c>
      <c r="M110">
        <f t="shared" si="42"/>
        <v>0</v>
      </c>
      <c r="O110">
        <f t="shared" si="43"/>
        <v>-1765.465151008317</v>
      </c>
      <c r="P110">
        <f t="shared" si="44"/>
        <v>-3.326351306228704</v>
      </c>
      <c r="R110" s="10"/>
    </row>
    <row r="111" spans="1:18" ht="15" customHeight="1">
      <c r="B111">
        <v>100</v>
      </c>
      <c r="C111">
        <f>273.15+B111</f>
        <v>373.15</v>
      </c>
      <c r="K111" s="3"/>
      <c r="L111" s="3"/>
      <c r="R111" s="10"/>
    </row>
    <row r="112" spans="1:18" ht="15" customHeight="1">
      <c r="A112" t="s">
        <v>33</v>
      </c>
      <c r="B112">
        <f>('MATERIAL BALANCE'!AC12)/(60*60*24)</f>
        <v>1.5031028645833331E-2</v>
      </c>
      <c r="E112">
        <v>0</v>
      </c>
      <c r="F112">
        <v>0</v>
      </c>
      <c r="G112">
        <v>0</v>
      </c>
      <c r="H112">
        <v>0</v>
      </c>
      <c r="J112">
        <f>E112*($B$22-$C$101)</f>
        <v>0</v>
      </c>
      <c r="K112" s="3">
        <f>(F112*$F$8*($B$22^2-$C$101^2))*(1/2)</f>
        <v>0</v>
      </c>
      <c r="L112" s="3">
        <f>(1/3)*G112*$G$8*($B$22^3-$C$101^3)</f>
        <v>0</v>
      </c>
      <c r="M112">
        <f>H112*$H$8*(1/$B$22-1/$C$101)</f>
        <v>0</v>
      </c>
      <c r="O112">
        <f>SUM(J112:M112)</f>
        <v>0</v>
      </c>
      <c r="P112">
        <f>O112*B112*$K$6</f>
        <v>0</v>
      </c>
      <c r="Q112" s="4">
        <f>SUM(P103:P112)</f>
        <v>-329.5295741068316</v>
      </c>
      <c r="R112" s="10"/>
    </row>
    <row r="113" spans="1:18" ht="15" customHeight="1">
      <c r="K113" s="3"/>
      <c r="L113" s="3"/>
      <c r="R113" s="10"/>
    </row>
    <row r="114" spans="1:18" ht="15" customHeight="1">
      <c r="A114" t="s">
        <v>63</v>
      </c>
      <c r="K114" s="3"/>
      <c r="L114" s="3"/>
      <c r="R114" s="10"/>
    </row>
    <row r="115" spans="1:18" ht="15" customHeight="1">
      <c r="K115" s="3"/>
      <c r="L115" s="3"/>
      <c r="R115" s="10"/>
    </row>
    <row r="116" spans="1:18" ht="15" customHeight="1">
      <c r="A116" t="s">
        <v>70</v>
      </c>
      <c r="B116">
        <v>110</v>
      </c>
      <c r="C116">
        <f>273.15+B116</f>
        <v>383.15</v>
      </c>
      <c r="K116" s="3"/>
      <c r="L116" s="3"/>
      <c r="R116" s="10"/>
    </row>
    <row r="117" spans="1:18" ht="15" customHeight="1">
      <c r="K117" s="3"/>
      <c r="L117" s="3"/>
      <c r="R117" s="10"/>
    </row>
    <row r="118" spans="1:18" ht="15" customHeight="1">
      <c r="K118" s="3"/>
      <c r="L118" s="3"/>
      <c r="R118" s="10"/>
    </row>
    <row r="119" spans="1:18" ht="15" customHeight="1">
      <c r="A119" t="s">
        <v>20</v>
      </c>
      <c r="B119">
        <f>('MATERIAL BALANCE'!AE4)/(60*60*24)</f>
        <v>1.930648148148148E-2</v>
      </c>
      <c r="E119">
        <v>3.28</v>
      </c>
      <c r="F119">
        <v>0.59299999999999997</v>
      </c>
      <c r="G119">
        <v>0</v>
      </c>
      <c r="H119">
        <v>0.04</v>
      </c>
      <c r="J119">
        <f t="shared" ref="J119:J126" si="45">-1*E119*($B$22-$C$116)</f>
        <v>278.8</v>
      </c>
      <c r="K119" s="3">
        <f t="shared" ref="K119:K126" si="46">-1*(F119*$F$8*($B$22^2-$C$116^2))*(1/2)</f>
        <v>17.170463250000001</v>
      </c>
      <c r="L119" s="3">
        <f t="shared" ref="L119:L126" si="47">-1*(1/3)*G119*$G$8*($B$22^3-$C$116^3)</f>
        <v>0</v>
      </c>
      <c r="M119">
        <f t="shared" ref="M119:M126" si="48">H119*$H$8*(1/$B$22-1/$C$116)*-1</f>
        <v>-2.9762901938963342</v>
      </c>
      <c r="O119">
        <f t="shared" ref="O119:O126" si="49">SUM(J119:M119)</f>
        <v>292.9941730561037</v>
      </c>
      <c r="P119">
        <f t="shared" ref="P119:P126" si="50">O119*B119*$K$6</f>
        <v>47.029692195272119</v>
      </c>
      <c r="R119" s="10"/>
    </row>
    <row r="120" spans="1:18" ht="15" customHeight="1">
      <c r="A120" t="s">
        <v>25</v>
      </c>
      <c r="B120">
        <f>('MATERIAL BALANCE'!AE5)/(60*60*24)</f>
        <v>2.9089376335470077E-3</v>
      </c>
      <c r="E120">
        <v>3.6389999999999998</v>
      </c>
      <c r="F120">
        <v>0.50600000000000001</v>
      </c>
      <c r="G120">
        <v>0</v>
      </c>
      <c r="H120">
        <v>-0.22700000000000001</v>
      </c>
      <c r="J120">
        <f t="shared" si="45"/>
        <v>309.315</v>
      </c>
      <c r="K120" s="3">
        <f t="shared" si="46"/>
        <v>14.651356500000002</v>
      </c>
      <c r="L120" s="3">
        <f t="shared" si="47"/>
        <v>0</v>
      </c>
      <c r="M120">
        <f t="shared" si="48"/>
        <v>16.890446850361698</v>
      </c>
      <c r="O120">
        <f t="shared" si="49"/>
        <v>340.8568033503617</v>
      </c>
      <c r="P120">
        <f t="shared" si="50"/>
        <v>8.2435902547669411</v>
      </c>
      <c r="R120" s="10"/>
    </row>
    <row r="121" spans="1:18" ht="15" customHeight="1">
      <c r="A121" t="s">
        <v>18</v>
      </c>
      <c r="B121">
        <f>('MATERIAL BALANCE'!AE7)/(60*60*24)</f>
        <v>2.4094328703703726E-4</v>
      </c>
      <c r="E121">
        <v>1.702</v>
      </c>
      <c r="F121">
        <v>9.0809999999999995</v>
      </c>
      <c r="G121">
        <v>-2.1640000000000001</v>
      </c>
      <c r="H121">
        <v>0</v>
      </c>
      <c r="J121">
        <f t="shared" si="45"/>
        <v>144.66999999999999</v>
      </c>
      <c r="K121" s="3">
        <f t="shared" si="46"/>
        <v>262.94262524999999</v>
      </c>
      <c r="L121" s="3">
        <f t="shared" si="47"/>
        <v>-21.455590402983333</v>
      </c>
      <c r="M121">
        <f t="shared" si="48"/>
        <v>0</v>
      </c>
      <c r="O121">
        <f t="shared" si="49"/>
        <v>386.15703484701663</v>
      </c>
      <c r="P121">
        <f t="shared" si="50"/>
        <v>0.77355073312872147</v>
      </c>
      <c r="R121" s="10"/>
    </row>
    <row r="122" spans="1:18" ht="15" customHeight="1">
      <c r="A122" t="s">
        <v>26</v>
      </c>
      <c r="B122">
        <f>('MATERIAL BALANCE'!AE8)/(60*60*24)</f>
        <v>5.7919512442129624E-2</v>
      </c>
      <c r="E122">
        <v>3.2490000000000001</v>
      </c>
      <c r="F122">
        <v>0.42199999999999999</v>
      </c>
      <c r="G122">
        <v>0</v>
      </c>
      <c r="H122">
        <v>8.3000000000000004E-2</v>
      </c>
      <c r="J122">
        <f t="shared" si="45"/>
        <v>276.16500000000002</v>
      </c>
      <c r="K122" s="3">
        <f t="shared" si="46"/>
        <v>12.219115500000001</v>
      </c>
      <c r="L122" s="3">
        <f t="shared" si="47"/>
        <v>0</v>
      </c>
      <c r="M122">
        <f t="shared" si="48"/>
        <v>-6.1758021523348932</v>
      </c>
      <c r="O122">
        <f t="shared" si="49"/>
        <v>282.20831334766513</v>
      </c>
      <c r="P122">
        <f t="shared" si="50"/>
        <v>135.89538885539079</v>
      </c>
      <c r="R122" s="10"/>
    </row>
    <row r="123" spans="1:18" ht="15" customHeight="1">
      <c r="A123" t="s">
        <v>24</v>
      </c>
      <c r="B123">
        <f>('MATERIAL BALANCE'!AE9)/(60*60*24)</f>
        <v>7.9110677083333398E-4</v>
      </c>
      <c r="E123">
        <v>3.3759999999999999</v>
      </c>
      <c r="F123">
        <v>0.55700000000000005</v>
      </c>
      <c r="G123">
        <v>0</v>
      </c>
      <c r="H123">
        <v>-3.1E-2</v>
      </c>
      <c r="J123">
        <f t="shared" si="45"/>
        <v>286.95999999999998</v>
      </c>
      <c r="K123" s="3">
        <f t="shared" si="46"/>
        <v>16.128074250000004</v>
      </c>
      <c r="L123" s="3">
        <f t="shared" si="47"/>
        <v>0</v>
      </c>
      <c r="M123">
        <f t="shared" si="48"/>
        <v>2.3066249002696591</v>
      </c>
      <c r="O123">
        <f t="shared" si="49"/>
        <v>305.39469915026962</v>
      </c>
      <c r="P123">
        <f t="shared" si="50"/>
        <v>2.0086608558772561</v>
      </c>
      <c r="R123" s="10"/>
    </row>
    <row r="124" spans="1:18" ht="15" customHeight="1">
      <c r="A124" t="s">
        <v>19</v>
      </c>
      <c r="B124">
        <f>('MATERIAL BALANCE'!AE10)/(60*60*24)</f>
        <v>6.8829658564814782E-3</v>
      </c>
      <c r="E124">
        <v>3.47</v>
      </c>
      <c r="F124">
        <v>1.45</v>
      </c>
      <c r="G124">
        <v>0</v>
      </c>
      <c r="H124">
        <v>0.121</v>
      </c>
      <c r="J124">
        <f t="shared" si="45"/>
        <v>294.95</v>
      </c>
      <c r="K124" s="3">
        <f t="shared" si="46"/>
        <v>41.9851125</v>
      </c>
      <c r="L124" s="3">
        <f t="shared" si="47"/>
        <v>0</v>
      </c>
      <c r="M124">
        <f t="shared" si="48"/>
        <v>-9.0032778365364106</v>
      </c>
      <c r="O124">
        <f t="shared" si="49"/>
        <v>327.93183466346358</v>
      </c>
      <c r="P124">
        <f t="shared" si="50"/>
        <v>18.765892067005566</v>
      </c>
      <c r="R124" s="10"/>
    </row>
    <row r="125" spans="1:18" ht="15" customHeight="1">
      <c r="A125" t="s">
        <v>31</v>
      </c>
      <c r="B125">
        <f>('MATERIAL BALANCE'!AE11)/(60*60*24)</f>
        <v>3.0062057291666663E-2</v>
      </c>
      <c r="E125">
        <v>0</v>
      </c>
      <c r="F125">
        <v>0</v>
      </c>
      <c r="G125">
        <v>0</v>
      </c>
      <c r="H125">
        <v>0</v>
      </c>
      <c r="J125">
        <f t="shared" si="45"/>
        <v>0</v>
      </c>
      <c r="K125" s="3">
        <f t="shared" si="46"/>
        <v>0</v>
      </c>
      <c r="L125" s="3">
        <f t="shared" si="47"/>
        <v>0</v>
      </c>
      <c r="M125">
        <f t="shared" si="48"/>
        <v>0</v>
      </c>
      <c r="O125">
        <f t="shared" si="49"/>
        <v>0</v>
      </c>
      <c r="P125">
        <f t="shared" si="50"/>
        <v>0</v>
      </c>
      <c r="R125" s="10"/>
    </row>
    <row r="126" spans="1:18" ht="15" customHeight="1">
      <c r="A126" t="s">
        <v>28</v>
      </c>
      <c r="B126">
        <f>('MATERIAL BALANCE'!AE6)/(60*60*24)</f>
        <v>2.2662037037037035E-4</v>
      </c>
      <c r="E126">
        <v>20.786000000000001</v>
      </c>
      <c r="F126">
        <v>1.2300000000000001E-4</v>
      </c>
      <c r="G126">
        <f>-0.136</f>
        <v>-0.13600000000000001</v>
      </c>
      <c r="H126">
        <v>0</v>
      </c>
      <c r="J126">
        <f t="shared" si="45"/>
        <v>1766.8100000000002</v>
      </c>
      <c r="K126" s="3">
        <f t="shared" si="46"/>
        <v>3.5614957500000001E-3</v>
      </c>
      <c r="L126" s="3">
        <f t="shared" si="47"/>
        <v>-1.3484104874333334</v>
      </c>
      <c r="M126">
        <f t="shared" si="48"/>
        <v>0</v>
      </c>
      <c r="O126">
        <f t="shared" si="49"/>
        <v>1765.465151008317</v>
      </c>
      <c r="P126">
        <f t="shared" si="50"/>
        <v>3.326351306228704</v>
      </c>
      <c r="Q126" s="4">
        <f>SUM(P119:P126)</f>
        <v>216.04312626767009</v>
      </c>
      <c r="R126" s="10"/>
    </row>
    <row r="127" spans="1:18" ht="15" customHeight="1">
      <c r="P127" t="s">
        <v>54</v>
      </c>
      <c r="Q127" s="8">
        <f>(Q126+Q112) +(E100*('MATERIAL BALANCE'!AD14)*1000/(60*60*24))</f>
        <v>-1165.6584530474945</v>
      </c>
      <c r="R127" s="10"/>
    </row>
    <row r="128" spans="1:18" ht="15" customHeight="1">
      <c r="R128" s="10"/>
    </row>
    <row r="129" spans="1:18" ht="15" customHeight="1">
      <c r="F129" s="13" t="s">
        <v>76</v>
      </c>
      <c r="R129" s="10"/>
    </row>
    <row r="130" spans="1:18" ht="15" customHeight="1">
      <c r="D130" t="s">
        <v>77</v>
      </c>
      <c r="E130">
        <f>-283</f>
        <v>-283</v>
      </c>
      <c r="R130" s="10"/>
    </row>
    <row r="131" spans="1:18" ht="15" customHeight="1">
      <c r="A131" t="s">
        <v>58</v>
      </c>
      <c r="R131" s="10"/>
    </row>
    <row r="132" spans="1:18" ht="15" customHeight="1">
      <c r="B132">
        <v>130</v>
      </c>
      <c r="C132">
        <f>273.15+B132</f>
        <v>403.15</v>
      </c>
      <c r="R132" s="10"/>
    </row>
    <row r="133" spans="1:18" ht="15" customHeight="1">
      <c r="K133" s="3"/>
      <c r="L133" s="3"/>
      <c r="R133" s="10"/>
    </row>
    <row r="134" spans="1:18" ht="15" customHeight="1">
      <c r="A134" t="s">
        <v>20</v>
      </c>
      <c r="B134">
        <f>('MATERIAL BALANCE'!AH4)/(60*60*24)</f>
        <v>1.930648148148148E-2</v>
      </c>
      <c r="E134">
        <v>3.28</v>
      </c>
      <c r="F134">
        <v>0.59299999999999997</v>
      </c>
      <c r="G134">
        <v>0</v>
      </c>
      <c r="H134">
        <v>0.04</v>
      </c>
      <c r="J134">
        <f t="shared" ref="J134:J140" si="51">E134*($B$22-$C$132)</f>
        <v>-344.4</v>
      </c>
      <c r="K134" s="3">
        <f t="shared" ref="K134:K140" si="52">(F134*$F$8*($B$22^2-$C$132^2))*(1/2)</f>
        <v>-21.833222249999999</v>
      </c>
      <c r="L134" s="3">
        <f t="shared" ref="L134:L140" si="53">(1/3)*G134*$G$8*($B$22^3-$C$116^3)</f>
        <v>0</v>
      </c>
      <c r="M134">
        <f t="shared" ref="M134:M140" si="54">H134*$H$8*(1/$B$22-1/$C$132)</f>
        <v>3.4942004280437127</v>
      </c>
      <c r="O134">
        <f t="shared" ref="O134:O140" si="55">SUM(J134:M134)</f>
        <v>-362.73902182195627</v>
      </c>
      <c r="P134">
        <f t="shared" ref="P134:P140" si="56">O134*B134*$K$6</f>
        <v>-58.224722920459165</v>
      </c>
      <c r="R134" s="10"/>
    </row>
    <row r="135" spans="1:18" ht="15" customHeight="1">
      <c r="A135" t="s">
        <v>25</v>
      </c>
      <c r="B135">
        <f>('MATERIAL BALANCE'!AH5)/(60*60*24)</f>
        <v>2.9089376335470077E-3</v>
      </c>
      <c r="E135">
        <v>3.6389999999999998</v>
      </c>
      <c r="F135">
        <v>0.50600000000000001</v>
      </c>
      <c r="G135">
        <v>0</v>
      </c>
      <c r="H135">
        <v>-0.22700000000000001</v>
      </c>
      <c r="J135">
        <f t="shared" si="51"/>
        <v>-382.09499999999997</v>
      </c>
      <c r="K135" s="3">
        <f t="shared" si="52"/>
        <v>-18.630034500000001</v>
      </c>
      <c r="L135" s="3">
        <f t="shared" si="53"/>
        <v>0</v>
      </c>
      <c r="M135">
        <f t="shared" si="54"/>
        <v>-19.82958742914807</v>
      </c>
      <c r="O135">
        <f t="shared" si="55"/>
        <v>-420.55462192914808</v>
      </c>
      <c r="P135">
        <f t="shared" si="56"/>
        <v>-10.171074623875898</v>
      </c>
      <c r="R135" s="10"/>
    </row>
    <row r="136" spans="1:18" ht="15" customHeight="1">
      <c r="A136" t="s">
        <v>18</v>
      </c>
      <c r="B136">
        <f>('MATERIAL BALANCE'!AH7)/(60*60*24)</f>
        <v>2.4094328703703726E-4</v>
      </c>
      <c r="E136">
        <v>1.702</v>
      </c>
      <c r="F136">
        <v>9.0809999999999995</v>
      </c>
      <c r="G136">
        <v>-2.1640000000000001</v>
      </c>
      <c r="H136">
        <v>0</v>
      </c>
      <c r="J136">
        <f t="shared" si="51"/>
        <v>-178.71</v>
      </c>
      <c r="K136" s="3">
        <f t="shared" si="52"/>
        <v>-334.34652825000001</v>
      </c>
      <c r="L136" s="3">
        <f t="shared" si="53"/>
        <v>21.455590402983333</v>
      </c>
      <c r="M136">
        <f t="shared" si="54"/>
        <v>0</v>
      </c>
      <c r="O136">
        <f t="shared" si="55"/>
        <v>-491.60093784701672</v>
      </c>
      <c r="P136">
        <f t="shared" si="56"/>
        <v>-0.98477622200766368</v>
      </c>
      <c r="R136" s="10"/>
    </row>
    <row r="137" spans="1:18" ht="15" customHeight="1">
      <c r="A137" t="s">
        <v>26</v>
      </c>
      <c r="B137">
        <f>('MATERIAL BALANCE'!AH8)/(60*60*24)</f>
        <v>5.7919512442129624E-2</v>
      </c>
      <c r="E137">
        <v>3.2490000000000001</v>
      </c>
      <c r="F137">
        <v>0.42199999999999999</v>
      </c>
      <c r="G137">
        <v>0</v>
      </c>
      <c r="H137">
        <v>8.3000000000000004E-2</v>
      </c>
      <c r="J137">
        <f t="shared" si="51"/>
        <v>-341.14500000000004</v>
      </c>
      <c r="K137" s="3">
        <f t="shared" si="52"/>
        <v>-15.5373015</v>
      </c>
      <c r="L137" s="3">
        <f t="shared" si="53"/>
        <v>0</v>
      </c>
      <c r="M137">
        <f t="shared" si="54"/>
        <v>7.2504658881907043</v>
      </c>
      <c r="O137">
        <f t="shared" si="55"/>
        <v>-349.43183561180933</v>
      </c>
      <c r="P137">
        <f t="shared" si="56"/>
        <v>-168.26639376997892</v>
      </c>
      <c r="R137" s="10"/>
    </row>
    <row r="138" spans="1:18" ht="15" customHeight="1">
      <c r="A138" t="s">
        <v>24</v>
      </c>
      <c r="B138">
        <f>('MATERIAL BALANCE'!AH9)/(60*60*24)</f>
        <v>7.9110677083333398E-4</v>
      </c>
      <c r="E138">
        <v>3.3759999999999999</v>
      </c>
      <c r="F138">
        <v>0.55700000000000005</v>
      </c>
      <c r="G138">
        <v>0</v>
      </c>
      <c r="H138">
        <v>-3.1E-2</v>
      </c>
      <c r="J138">
        <f t="shared" si="51"/>
        <v>-354.47999999999996</v>
      </c>
      <c r="K138" s="3">
        <f t="shared" si="52"/>
        <v>-20.507765250000002</v>
      </c>
      <c r="L138" s="3">
        <f t="shared" si="53"/>
        <v>0</v>
      </c>
      <c r="M138">
        <f t="shared" si="54"/>
        <v>-2.7080053317338773</v>
      </c>
      <c r="O138">
        <f t="shared" si="55"/>
        <v>-377.69577058173383</v>
      </c>
      <c r="P138">
        <f t="shared" si="56"/>
        <v>-2.4842039233451954</v>
      </c>
      <c r="R138" s="10"/>
    </row>
    <row r="139" spans="1:18" ht="15" customHeight="1">
      <c r="A139" t="s">
        <v>19</v>
      </c>
      <c r="B139">
        <f>('MATERIAL BALANCE'!AH10)/(60*60*24)</f>
        <v>6.8829658564814782E-3</v>
      </c>
      <c r="E139">
        <v>3.47</v>
      </c>
      <c r="F139">
        <v>1.45</v>
      </c>
      <c r="G139">
        <v>0</v>
      </c>
      <c r="H139">
        <v>0.121</v>
      </c>
      <c r="J139">
        <f t="shared" si="51"/>
        <v>-364.35</v>
      </c>
      <c r="K139" s="3">
        <f t="shared" si="52"/>
        <v>-53.386462499999993</v>
      </c>
      <c r="L139" s="3">
        <f t="shared" si="53"/>
        <v>0</v>
      </c>
      <c r="M139">
        <f t="shared" si="54"/>
        <v>10.569956294832231</v>
      </c>
      <c r="O139">
        <f t="shared" si="55"/>
        <v>-407.16650620516776</v>
      </c>
      <c r="P139">
        <f t="shared" si="56"/>
        <v>-23.300094413179679</v>
      </c>
      <c r="R139" s="10"/>
    </row>
    <row r="140" spans="1:18" ht="15" customHeight="1">
      <c r="A140" t="s">
        <v>28</v>
      </c>
      <c r="B140">
        <f>('MATERIAL BALANCE'!AH6)/(60*60*24)</f>
        <v>2.2662037037037035E-4</v>
      </c>
      <c r="E140">
        <v>20.786000000000001</v>
      </c>
      <c r="F140">
        <v>1.2300000000000001E-4</v>
      </c>
      <c r="G140">
        <f>-0.136</f>
        <v>-0.13600000000000001</v>
      </c>
      <c r="H140">
        <v>0</v>
      </c>
      <c r="J140">
        <f t="shared" si="51"/>
        <v>-2182.5300000000002</v>
      </c>
      <c r="K140" s="3">
        <f t="shared" si="52"/>
        <v>-4.5286447499999997E-3</v>
      </c>
      <c r="L140" s="3">
        <f t="shared" si="53"/>
        <v>1.3484104874333334</v>
      </c>
      <c r="M140">
        <f t="shared" si="54"/>
        <v>0</v>
      </c>
      <c r="O140">
        <f t="shared" si="55"/>
        <v>-2181.1861181573167</v>
      </c>
      <c r="P140">
        <f t="shared" si="56"/>
        <v>-4.1096202262144379</v>
      </c>
      <c r="Q140" s="4">
        <f>SUM(P134:P140)</f>
        <v>-267.54088609906097</v>
      </c>
      <c r="R140" s="10"/>
    </row>
    <row r="141" spans="1:18" ht="15" customHeight="1">
      <c r="R141" s="10"/>
    </row>
    <row r="142" spans="1:18" ht="15" customHeight="1">
      <c r="A142" t="s">
        <v>63</v>
      </c>
      <c r="R142" s="10"/>
    </row>
    <row r="143" spans="1:18" ht="15" customHeight="1">
      <c r="B143">
        <v>130</v>
      </c>
      <c r="C143">
        <f>273.15+B143</f>
        <v>403.15</v>
      </c>
      <c r="R143" s="10"/>
    </row>
    <row r="144" spans="1:18" ht="15" customHeight="1">
      <c r="K144" s="3"/>
      <c r="L144" s="3"/>
      <c r="R144" s="10"/>
    </row>
    <row r="145" spans="1:18" ht="15" customHeight="1">
      <c r="A145" t="s">
        <v>20</v>
      </c>
      <c r="B145">
        <f>('MATERIAL BALANCE'!AJ4)/(24*60*60)</f>
        <v>1.930648148148148E-2</v>
      </c>
      <c r="E145">
        <v>3.28</v>
      </c>
      <c r="F145">
        <v>0.59299999999999997</v>
      </c>
      <c r="G145">
        <v>0</v>
      </c>
      <c r="H145">
        <v>0.04</v>
      </c>
      <c r="J145">
        <f t="shared" ref="J145:J151" si="57">E145*($B$22-$C$143)*-1</f>
        <v>344.4</v>
      </c>
      <c r="K145" s="3">
        <f t="shared" ref="K145:K151" si="58">(F145*$F$8*($B$22^2-$C$143^2))*(1/2)*-1</f>
        <v>21.833222249999999</v>
      </c>
      <c r="L145" s="3">
        <f t="shared" ref="L145:L151" si="59">(1/3)*G145*$G$8*($B$22^3-$C$143^3)*-1</f>
        <v>0</v>
      </c>
      <c r="M145">
        <f t="shared" ref="M145:M151" si="60">H145*$H$8*(1/$B$22-1/$C$143)*-1</f>
        <v>-3.4942004280437127</v>
      </c>
      <c r="O145">
        <f t="shared" ref="O145:O151" si="61">SUM(J145:M145)</f>
        <v>362.73902182195627</v>
      </c>
      <c r="P145">
        <f t="shared" ref="P145:P151" si="62">O145*B145*$K$6</f>
        <v>58.224722920459165</v>
      </c>
      <c r="R145" s="10"/>
    </row>
    <row r="146" spans="1:18" ht="15" customHeight="1">
      <c r="A146" t="s">
        <v>25</v>
      </c>
      <c r="B146">
        <f>('MATERIAL BALANCE'!AJ5)/(24*60*60)</f>
        <v>2.5133842481303409E-3</v>
      </c>
      <c r="E146">
        <v>3.6389999999999998</v>
      </c>
      <c r="F146">
        <v>0.50600000000000001</v>
      </c>
      <c r="G146">
        <v>0</v>
      </c>
      <c r="H146">
        <v>-0.22700000000000001</v>
      </c>
      <c r="J146">
        <f t="shared" si="57"/>
        <v>382.09499999999997</v>
      </c>
      <c r="K146" s="3">
        <f t="shared" si="58"/>
        <v>18.630034500000001</v>
      </c>
      <c r="L146" s="3">
        <f t="shared" si="59"/>
        <v>0</v>
      </c>
      <c r="M146">
        <f t="shared" si="60"/>
        <v>19.82958742914807</v>
      </c>
      <c r="O146">
        <f t="shared" si="61"/>
        <v>420.55462192914808</v>
      </c>
      <c r="P146">
        <f t="shared" si="62"/>
        <v>8.7880257216228852</v>
      </c>
      <c r="R146" s="10"/>
    </row>
    <row r="147" spans="1:18" ht="15" customHeight="1">
      <c r="A147" t="s">
        <v>18</v>
      </c>
      <c r="B147">
        <f>('MATERIAL BALANCE'!AJ7)/(24*60*60)</f>
        <v>2.4094328703703726E-4</v>
      </c>
      <c r="E147">
        <v>1.702</v>
      </c>
      <c r="F147">
        <v>9.0809999999999995</v>
      </c>
      <c r="G147">
        <v>-2.1640000000000001</v>
      </c>
      <c r="H147">
        <v>0</v>
      </c>
      <c r="J147">
        <f t="shared" si="57"/>
        <v>178.71</v>
      </c>
      <c r="K147" s="3">
        <f t="shared" si="58"/>
        <v>334.34652825000001</v>
      </c>
      <c r="L147" s="3">
        <f t="shared" si="59"/>
        <v>-28.14668947545</v>
      </c>
      <c r="M147">
        <f t="shared" si="60"/>
        <v>0</v>
      </c>
      <c r="O147">
        <f t="shared" si="61"/>
        <v>484.90983877455005</v>
      </c>
      <c r="P147">
        <f t="shared" si="62"/>
        <v>0.97137259569539414</v>
      </c>
      <c r="R147" s="10"/>
    </row>
    <row r="148" spans="1:18" ht="15" customHeight="1">
      <c r="A148" t="s">
        <v>26</v>
      </c>
      <c r="B148">
        <f>('MATERIAL BALANCE'!AJ8)/(24*60*60)</f>
        <v>5.7919512442129624E-2</v>
      </c>
      <c r="E148">
        <v>3.2490000000000001</v>
      </c>
      <c r="F148">
        <v>0.42199999999999999</v>
      </c>
      <c r="G148">
        <v>0</v>
      </c>
      <c r="H148">
        <v>8.3000000000000004E-2</v>
      </c>
      <c r="J148">
        <f t="shared" si="57"/>
        <v>341.14500000000004</v>
      </c>
      <c r="K148" s="3">
        <f t="shared" si="58"/>
        <v>15.5373015</v>
      </c>
      <c r="L148" s="3">
        <f t="shared" si="59"/>
        <v>0</v>
      </c>
      <c r="M148">
        <f t="shared" si="60"/>
        <v>-7.2504658881907043</v>
      </c>
      <c r="O148">
        <f t="shared" si="61"/>
        <v>349.43183561180933</v>
      </c>
      <c r="P148">
        <f t="shared" si="62"/>
        <v>168.26639376997892</v>
      </c>
      <c r="R148" s="10"/>
    </row>
    <row r="149" spans="1:18" ht="15" customHeight="1">
      <c r="A149" t="s">
        <v>29</v>
      </c>
      <c r="B149">
        <f>('MATERIAL BALANCE'!AJ9)/(24*60*60)</f>
        <v>7.9110677083333398E-4</v>
      </c>
      <c r="E149">
        <v>3.3759999999999999</v>
      </c>
      <c r="F149">
        <v>0.55700000000000005</v>
      </c>
      <c r="G149">
        <v>0</v>
      </c>
      <c r="H149">
        <v>-3.1E-2</v>
      </c>
      <c r="J149">
        <f t="shared" si="57"/>
        <v>354.47999999999996</v>
      </c>
      <c r="K149" s="3">
        <f t="shared" si="58"/>
        <v>20.507765250000002</v>
      </c>
      <c r="L149" s="3">
        <f t="shared" si="59"/>
        <v>0</v>
      </c>
      <c r="M149">
        <f t="shared" si="60"/>
        <v>2.7080053317338773</v>
      </c>
      <c r="O149">
        <f t="shared" si="61"/>
        <v>377.69577058173383</v>
      </c>
      <c r="P149">
        <f t="shared" si="62"/>
        <v>2.4842039233451954</v>
      </c>
      <c r="R149" s="10"/>
    </row>
    <row r="150" spans="1:18" ht="15" customHeight="1">
      <c r="A150" t="s">
        <v>19</v>
      </c>
      <c r="B150">
        <f>('MATERIAL BALANCE'!AJ10)/(24*60*60)</f>
        <v>6.8829658564814782E-3</v>
      </c>
      <c r="E150">
        <v>3.47</v>
      </c>
      <c r="F150">
        <v>1.45</v>
      </c>
      <c r="G150">
        <v>0</v>
      </c>
      <c r="H150">
        <v>0.121</v>
      </c>
      <c r="J150">
        <f t="shared" si="57"/>
        <v>364.35</v>
      </c>
      <c r="K150" s="3">
        <f t="shared" si="58"/>
        <v>53.386462499999993</v>
      </c>
      <c r="L150" s="3">
        <f t="shared" si="59"/>
        <v>0</v>
      </c>
      <c r="M150">
        <f t="shared" si="60"/>
        <v>-10.569956294832231</v>
      </c>
      <c r="O150">
        <f t="shared" si="61"/>
        <v>407.16650620516776</v>
      </c>
      <c r="P150">
        <f t="shared" si="62"/>
        <v>23.300094413179679</v>
      </c>
      <c r="R150" s="10"/>
    </row>
    <row r="151" spans="1:18" ht="15" customHeight="1">
      <c r="A151" t="s">
        <v>28</v>
      </c>
      <c r="B151">
        <f>('MATERIAL BALANCE'!AJ6)/(24*60*60)</f>
        <v>2.2662037037037035E-4</v>
      </c>
      <c r="E151">
        <v>20.786000000000001</v>
      </c>
      <c r="F151">
        <v>1.2300000000000001E-4</v>
      </c>
      <c r="G151">
        <f>-0.136</f>
        <v>-0.13600000000000001</v>
      </c>
      <c r="H151">
        <v>0</v>
      </c>
      <c r="J151">
        <f t="shared" si="57"/>
        <v>2182.5300000000002</v>
      </c>
      <c r="K151" s="3">
        <f t="shared" si="58"/>
        <v>4.5286447499999997E-3</v>
      </c>
      <c r="L151" s="3">
        <f t="shared" si="59"/>
        <v>-1.7689231833000001</v>
      </c>
      <c r="M151">
        <f t="shared" si="60"/>
        <v>0</v>
      </c>
      <c r="O151">
        <f t="shared" si="61"/>
        <v>2180.7656054614499</v>
      </c>
      <c r="P151">
        <f t="shared" si="62"/>
        <v>4.1088279290941108</v>
      </c>
      <c r="Q151" s="4">
        <f>SUM(P145:P151)</f>
        <v>266.14364127337535</v>
      </c>
      <c r="R151" s="10"/>
    </row>
    <row r="152" spans="1:18" ht="15" customHeight="1">
      <c r="P152" t="s">
        <v>54</v>
      </c>
      <c r="Q152" s="9">
        <f>Q151+Q140+(E130*('MATERIAL BALANCE'!AI14)*1000/(60*60*24))</f>
        <v>-113.33885289860237</v>
      </c>
      <c r="R152" s="10"/>
    </row>
    <row r="153" spans="1:18" ht="15" customHeight="1">
      <c r="F153" s="12" t="s">
        <v>78</v>
      </c>
      <c r="G153" s="5"/>
      <c r="R153" s="10"/>
    </row>
    <row r="154" spans="1:18" ht="15" customHeight="1">
      <c r="R154" s="10"/>
    </row>
    <row r="155" spans="1:18" ht="15" customHeight="1">
      <c r="A155" t="s">
        <v>58</v>
      </c>
      <c r="R155" s="10"/>
    </row>
    <row r="156" spans="1:18" ht="15" customHeight="1">
      <c r="B156">
        <v>30</v>
      </c>
      <c r="C156">
        <f>B156+273.15</f>
        <v>303.14999999999998</v>
      </c>
      <c r="R156" s="10"/>
    </row>
    <row r="157" spans="1:18" ht="15" customHeight="1">
      <c r="R157" s="10"/>
    </row>
    <row r="158" spans="1:18" ht="15" customHeight="1">
      <c r="A158" t="s">
        <v>20</v>
      </c>
      <c r="B158" s="7">
        <f>('MATERIAL BALANCE'!AM4)/(60*24*60)</f>
        <v>1.930648148148148E-2</v>
      </c>
      <c r="E158">
        <v>3.28</v>
      </c>
      <c r="F158">
        <v>0.59299999999999997</v>
      </c>
      <c r="G158">
        <v>0</v>
      </c>
      <c r="H158">
        <v>0.04</v>
      </c>
      <c r="J158">
        <f t="shared" ref="J158:J164" si="63">E158*($B$22-$C$156)</f>
        <v>-16.399999999999999</v>
      </c>
      <c r="K158" s="3">
        <f t="shared" ref="K158:K164" si="64">F158*$F$8*($B$22^2-$C$156^2)*(1/2)</f>
        <v>-0.89142725</v>
      </c>
      <c r="L158" s="3">
        <f t="shared" ref="L158:L164" si="65">G158*$G$8*($B$22^3-$C$156^3)*(1/3)</f>
        <v>0</v>
      </c>
      <c r="M158" s="3">
        <f t="shared" ref="M158:M164" si="66">H158*$H$8*(1/$B$22-1/$C$156)</f>
        <v>0.22127768000531312</v>
      </c>
      <c r="O158">
        <f t="shared" ref="O158:O164" si="67">SUM(J158:M158)</f>
        <v>-17.070149569994683</v>
      </c>
      <c r="P158">
        <f t="shared" ref="P158:P164" si="68">O158*B158*$K$6</f>
        <v>-2.7399994738133668</v>
      </c>
      <c r="R158" s="10"/>
    </row>
    <row r="159" spans="1:18" ht="15" customHeight="1">
      <c r="A159" t="s">
        <v>25</v>
      </c>
      <c r="B159" s="7">
        <f>('MATERIAL BALANCE'!AM5)/(60*24*60)</f>
        <v>2.5133842481303409E-3</v>
      </c>
      <c r="E159">
        <v>3.6389999999999998</v>
      </c>
      <c r="F159">
        <v>0.50600000000000001</v>
      </c>
      <c r="G159">
        <v>0</v>
      </c>
      <c r="H159">
        <v>-0.22700000000000001</v>
      </c>
      <c r="J159">
        <f t="shared" si="63"/>
        <v>-18.195</v>
      </c>
      <c r="K159" s="3">
        <f t="shared" si="64"/>
        <v>-0.76064450000000006</v>
      </c>
      <c r="L159" s="3">
        <f t="shared" si="65"/>
        <v>0</v>
      </c>
      <c r="M159" s="3">
        <f t="shared" si="66"/>
        <v>-1.2557508340301518</v>
      </c>
      <c r="O159">
        <f t="shared" si="67"/>
        <v>-20.211395334030154</v>
      </c>
      <c r="P159">
        <f t="shared" si="68"/>
        <v>-0.42234290815919162</v>
      </c>
      <c r="R159" s="10"/>
    </row>
    <row r="160" spans="1:18" ht="15" customHeight="1">
      <c r="A160" t="s">
        <v>18</v>
      </c>
      <c r="B160" s="7">
        <f>('MATERIAL BALANCE'!AM7)/(60*24*60)</f>
        <v>2.4094328703703726E-4</v>
      </c>
      <c r="E160">
        <v>1.702</v>
      </c>
      <c r="F160">
        <v>9.0809999999999995</v>
      </c>
      <c r="G160">
        <v>-2.1640000000000001</v>
      </c>
      <c r="H160">
        <v>0</v>
      </c>
      <c r="J160">
        <f t="shared" si="63"/>
        <v>-8.51</v>
      </c>
      <c r="K160" s="3">
        <f t="shared" si="64"/>
        <v>-13.65101325</v>
      </c>
      <c r="L160" s="3">
        <f t="shared" si="65"/>
        <v>0.97804691311666825</v>
      </c>
      <c r="M160" s="3">
        <f t="shared" si="66"/>
        <v>0</v>
      </c>
      <c r="O160">
        <f t="shared" si="67"/>
        <v>-21.182966336883332</v>
      </c>
      <c r="P160">
        <f t="shared" si="68"/>
        <v>-4.2433770878287355E-2</v>
      </c>
      <c r="R160" s="10"/>
    </row>
    <row r="161" spans="1:18" ht="15" customHeight="1">
      <c r="A161" t="s">
        <v>26</v>
      </c>
      <c r="B161" s="7">
        <f>('MATERIAL BALANCE'!AM8)/(60*24*60)</f>
        <v>5.7919512442129624E-2</v>
      </c>
      <c r="E161">
        <v>3.2490000000000001</v>
      </c>
      <c r="F161">
        <v>0.42199999999999999</v>
      </c>
      <c r="G161">
        <v>0</v>
      </c>
      <c r="H161">
        <v>8.3000000000000004E-2</v>
      </c>
      <c r="J161">
        <f t="shared" si="63"/>
        <v>-16.245000000000001</v>
      </c>
      <c r="K161" s="3">
        <f t="shared" si="64"/>
        <v>-0.63437149999999998</v>
      </c>
      <c r="L161" s="3">
        <f t="shared" si="65"/>
        <v>0</v>
      </c>
      <c r="M161" s="3">
        <f t="shared" si="66"/>
        <v>0.45915118601102467</v>
      </c>
      <c r="O161">
        <f t="shared" si="67"/>
        <v>-16.420220313988978</v>
      </c>
      <c r="P161">
        <f t="shared" si="68"/>
        <v>-7.9070393008292319</v>
      </c>
      <c r="R161" s="10"/>
    </row>
    <row r="162" spans="1:18" ht="15" customHeight="1">
      <c r="A162" t="s">
        <v>29</v>
      </c>
      <c r="B162" s="7">
        <f>('MATERIAL BALANCE'!AM9)/(60*24*60)</f>
        <v>7.9110677083333398E-4</v>
      </c>
      <c r="E162">
        <v>3.3759999999999999</v>
      </c>
      <c r="F162">
        <v>0.55700000000000005</v>
      </c>
      <c r="G162">
        <v>0</v>
      </c>
      <c r="H162">
        <v>-3.1E-2</v>
      </c>
      <c r="J162">
        <f t="shared" si="63"/>
        <v>-16.88</v>
      </c>
      <c r="K162" s="3">
        <f t="shared" si="64"/>
        <v>-0.83731025000000014</v>
      </c>
      <c r="L162" s="3">
        <f t="shared" si="65"/>
        <v>0</v>
      </c>
      <c r="M162" s="3">
        <f t="shared" si="66"/>
        <v>-0.17149020200411766</v>
      </c>
      <c r="O162">
        <f t="shared" si="67"/>
        <v>-17.888800452004119</v>
      </c>
      <c r="P162">
        <f t="shared" si="68"/>
        <v>-0.11765932194147032</v>
      </c>
      <c r="R162" s="10"/>
    </row>
    <row r="163" spans="1:18" ht="15" customHeight="1">
      <c r="A163" t="s">
        <v>19</v>
      </c>
      <c r="B163" s="7">
        <f>('MATERIAL BALANCE'!AM10)/(60*24*60)</f>
        <v>6.8829658564814782E-3</v>
      </c>
      <c r="E163">
        <v>3.47</v>
      </c>
      <c r="F163">
        <v>1.45</v>
      </c>
      <c r="G163">
        <v>0</v>
      </c>
      <c r="H163">
        <v>0.121</v>
      </c>
      <c r="J163">
        <f t="shared" si="63"/>
        <v>-17.350000000000001</v>
      </c>
      <c r="K163" s="3">
        <f t="shared" si="64"/>
        <v>-2.1797124999999999</v>
      </c>
      <c r="L163" s="3">
        <f t="shared" si="65"/>
        <v>0</v>
      </c>
      <c r="M163" s="3">
        <f t="shared" si="66"/>
        <v>0.66936498201607209</v>
      </c>
      <c r="O163">
        <f t="shared" si="67"/>
        <v>-18.860347517983929</v>
      </c>
      <c r="P163">
        <f t="shared" si="68"/>
        <v>-1.0792829742556733</v>
      </c>
      <c r="R163" s="10"/>
    </row>
    <row r="164" spans="1:18" ht="15" customHeight="1">
      <c r="A164" t="s">
        <v>28</v>
      </c>
      <c r="B164" s="7">
        <f>('MATERIAL BALANCE'!AM6)/(60*24*60)</f>
        <v>2.2662037037037035E-4</v>
      </c>
      <c r="E164">
        <v>20.786000000000001</v>
      </c>
      <c r="F164">
        <v>1.2300000000000001E-4</v>
      </c>
      <c r="G164">
        <f>-0.136</f>
        <v>-0.13600000000000001</v>
      </c>
      <c r="H164">
        <v>0</v>
      </c>
      <c r="J164">
        <f t="shared" si="63"/>
        <v>-103.93</v>
      </c>
      <c r="K164" s="3">
        <f t="shared" si="64"/>
        <v>-1.8489974999999999E-4</v>
      </c>
      <c r="L164" s="3">
        <f t="shared" si="65"/>
        <v>6.1466903966666764E-2</v>
      </c>
      <c r="M164" s="3">
        <f t="shared" si="66"/>
        <v>0</v>
      </c>
      <c r="O164">
        <f t="shared" si="67"/>
        <v>-103.86871799578334</v>
      </c>
      <c r="P164">
        <f t="shared" si="68"/>
        <v>-0.19570131168221916</v>
      </c>
      <c r="Q164" s="2">
        <f>SUM(P158:P164)</f>
        <v>-12.504459061559439</v>
      </c>
      <c r="R164" s="10"/>
    </row>
    <row r="165" spans="1:18" ht="15" customHeight="1">
      <c r="R165" s="10"/>
    </row>
    <row r="166" spans="1:18" ht="15" customHeight="1">
      <c r="A166" t="s">
        <v>63</v>
      </c>
      <c r="R166" s="10"/>
    </row>
    <row r="167" spans="1:18" ht="15" customHeight="1">
      <c r="B167">
        <v>30</v>
      </c>
      <c r="C167">
        <f>B167+273.15</f>
        <v>303.14999999999998</v>
      </c>
      <c r="R167" s="10"/>
    </row>
    <row r="168" spans="1:18" ht="15" customHeight="1">
      <c r="R168" s="10"/>
    </row>
    <row r="169" spans="1:18" ht="15" customHeight="1">
      <c r="A169" t="s">
        <v>20</v>
      </c>
      <c r="B169" s="7">
        <f>('MATERIAL BALANCE'!AO4)/(60*24*60)</f>
        <v>1.930648148148148E-2</v>
      </c>
      <c r="E169">
        <f t="shared" ref="E169:H172" si="69">E158</f>
        <v>3.28</v>
      </c>
      <c r="F169">
        <f t="shared" si="69"/>
        <v>0.59299999999999997</v>
      </c>
      <c r="G169">
        <f t="shared" si="69"/>
        <v>0</v>
      </c>
      <c r="H169">
        <f t="shared" si="69"/>
        <v>0.04</v>
      </c>
      <c r="J169">
        <f t="shared" ref="J169:J175" si="70">E169*($B$22-$C$167)*-1</f>
        <v>16.399999999999999</v>
      </c>
      <c r="K169" s="3">
        <f t="shared" ref="K169:K175" si="71">F169*$F$8*($B$22^2-$C$167^2)*(1/2)*-1</f>
        <v>0.89142725</v>
      </c>
      <c r="L169">
        <f t="shared" ref="L169:L175" si="72">G169*$G$8*($B$22^3-$C$167^3)*(1/3)*-1</f>
        <v>0</v>
      </c>
      <c r="M169">
        <f t="shared" ref="M169:M175" si="73">H169*$H$8*(1/$B$22-1/$C$167)*-1</f>
        <v>-0.22127768000531312</v>
      </c>
      <c r="O169">
        <f t="shared" ref="O169:O175" si="74">SUM(J169:M169)</f>
        <v>17.070149569994683</v>
      </c>
      <c r="P169">
        <f t="shared" ref="P169:P175" si="75">O169*B169*$K$6</f>
        <v>2.7399994738133668</v>
      </c>
      <c r="R169" s="10"/>
    </row>
    <row r="170" spans="1:18" ht="15" customHeight="1">
      <c r="A170" t="s">
        <v>25</v>
      </c>
      <c r="B170" s="7">
        <f>('MATERIAL BALANCE'!AO5)/(60*24*60)</f>
        <v>2.5133842481303409E-3</v>
      </c>
      <c r="E170">
        <f t="shared" si="69"/>
        <v>3.6389999999999998</v>
      </c>
      <c r="F170">
        <f t="shared" si="69"/>
        <v>0.50600000000000001</v>
      </c>
      <c r="G170">
        <f t="shared" si="69"/>
        <v>0</v>
      </c>
      <c r="H170">
        <f t="shared" si="69"/>
        <v>-0.22700000000000001</v>
      </c>
      <c r="J170">
        <f t="shared" si="70"/>
        <v>18.195</v>
      </c>
      <c r="K170" s="3">
        <f t="shared" si="71"/>
        <v>0.76064450000000006</v>
      </c>
      <c r="L170">
        <f t="shared" si="72"/>
        <v>0</v>
      </c>
      <c r="M170">
        <f t="shared" si="73"/>
        <v>1.2557508340301518</v>
      </c>
      <c r="O170">
        <f t="shared" si="74"/>
        <v>20.211395334030154</v>
      </c>
      <c r="P170">
        <f t="shared" si="75"/>
        <v>0.42234290815919162</v>
      </c>
      <c r="R170" s="10"/>
    </row>
    <row r="171" spans="1:18" ht="15" customHeight="1">
      <c r="A171" t="s">
        <v>18</v>
      </c>
      <c r="B171" s="7">
        <f>('MATERIAL BALANCE'!AO7)/(60*24*60)</f>
        <v>2.4094328703703726E-4</v>
      </c>
      <c r="E171">
        <f t="shared" si="69"/>
        <v>1.702</v>
      </c>
      <c r="F171">
        <f t="shared" si="69"/>
        <v>9.0809999999999995</v>
      </c>
      <c r="G171">
        <f t="shared" si="69"/>
        <v>-2.1640000000000001</v>
      </c>
      <c r="H171">
        <f t="shared" si="69"/>
        <v>0</v>
      </c>
      <c r="J171">
        <f t="shared" si="70"/>
        <v>8.51</v>
      </c>
      <c r="K171" s="3">
        <f t="shared" si="71"/>
        <v>13.65101325</v>
      </c>
      <c r="L171">
        <f t="shared" si="72"/>
        <v>-0.97804691311666825</v>
      </c>
      <c r="M171">
        <f t="shared" si="73"/>
        <v>0</v>
      </c>
      <c r="O171">
        <f t="shared" si="74"/>
        <v>21.182966336883332</v>
      </c>
      <c r="P171">
        <f t="shared" si="75"/>
        <v>4.2433770878287355E-2</v>
      </c>
      <c r="R171" s="10"/>
    </row>
    <row r="172" spans="1:18" ht="15" customHeight="1">
      <c r="A172" t="s">
        <v>26</v>
      </c>
      <c r="B172" s="7">
        <f>('MATERIAL BALANCE'!AO8)/(60*24*60)</f>
        <v>5.7919512442129624E-2</v>
      </c>
      <c r="E172">
        <f t="shared" si="69"/>
        <v>3.2490000000000001</v>
      </c>
      <c r="F172">
        <f t="shared" si="69"/>
        <v>0.42199999999999999</v>
      </c>
      <c r="G172">
        <f t="shared" si="69"/>
        <v>0</v>
      </c>
      <c r="H172">
        <f t="shared" si="69"/>
        <v>8.3000000000000004E-2</v>
      </c>
      <c r="J172">
        <f t="shared" si="70"/>
        <v>16.245000000000001</v>
      </c>
      <c r="K172" s="3">
        <f t="shared" si="71"/>
        <v>0.63437149999999998</v>
      </c>
      <c r="L172">
        <f t="shared" si="72"/>
        <v>0</v>
      </c>
      <c r="M172">
        <f t="shared" si="73"/>
        <v>-0.45915118601102467</v>
      </c>
      <c r="O172">
        <f t="shared" si="74"/>
        <v>16.420220313988978</v>
      </c>
      <c r="P172">
        <f t="shared" si="75"/>
        <v>7.9070393008292319</v>
      </c>
      <c r="R172" s="10"/>
    </row>
    <row r="173" spans="1:18" ht="15" customHeight="1">
      <c r="A173" t="s">
        <v>79</v>
      </c>
      <c r="B173" s="7">
        <f>('MATERIAL BALANCE'!AO9)/(60*24*60)</f>
        <v>6.8829658564814782E-3</v>
      </c>
      <c r="E173">
        <f>E163</f>
        <v>3.47</v>
      </c>
      <c r="F173">
        <f>F163</f>
        <v>1.45</v>
      </c>
      <c r="G173">
        <f>G163</f>
        <v>0</v>
      </c>
      <c r="H173">
        <f>H163</f>
        <v>0.121</v>
      </c>
      <c r="J173">
        <f t="shared" si="70"/>
        <v>17.350000000000001</v>
      </c>
      <c r="K173" s="3">
        <f t="shared" si="71"/>
        <v>2.1797124999999999</v>
      </c>
      <c r="L173">
        <f t="shared" si="72"/>
        <v>0</v>
      </c>
      <c r="M173">
        <f t="shared" si="73"/>
        <v>-0.66936498201607209</v>
      </c>
      <c r="O173">
        <f t="shared" si="74"/>
        <v>18.860347517983929</v>
      </c>
      <c r="P173">
        <f t="shared" si="75"/>
        <v>1.0792829742556733</v>
      </c>
      <c r="R173" s="10"/>
    </row>
    <row r="174" spans="1:18" ht="15" customHeight="1">
      <c r="A174" t="s">
        <v>28</v>
      </c>
      <c r="B174" s="7">
        <f>('MATERIAL BALANCE'!AO6)/(60*24*60)</f>
        <v>2.2662037037037035E-4</v>
      </c>
      <c r="E174">
        <v>20.786000000000001</v>
      </c>
      <c r="F174">
        <v>1.2300000000000001E-4</v>
      </c>
      <c r="G174">
        <f>-0.136</f>
        <v>-0.13600000000000001</v>
      </c>
      <c r="H174">
        <v>0</v>
      </c>
      <c r="J174">
        <f t="shared" si="70"/>
        <v>103.93</v>
      </c>
      <c r="K174" s="3">
        <f t="shared" si="71"/>
        <v>1.8489974999999999E-4</v>
      </c>
      <c r="L174">
        <f t="shared" si="72"/>
        <v>-6.1466903966666764E-2</v>
      </c>
      <c r="M174">
        <f t="shared" si="73"/>
        <v>0</v>
      </c>
      <c r="O174">
        <f t="shared" si="74"/>
        <v>103.86871799578334</v>
      </c>
      <c r="P174">
        <f t="shared" si="75"/>
        <v>0.19570131168221916</v>
      </c>
      <c r="R174" s="10"/>
    </row>
    <row r="175" spans="1:18" ht="15" customHeight="1">
      <c r="A175" t="s">
        <v>29</v>
      </c>
      <c r="B175">
        <v>7.9110677083333398E-4</v>
      </c>
      <c r="E175">
        <v>3.3759999999999999</v>
      </c>
      <c r="F175">
        <v>0.55700000000000005</v>
      </c>
      <c r="G175">
        <v>0</v>
      </c>
      <c r="H175">
        <v>-3.1E-2</v>
      </c>
      <c r="J175">
        <f t="shared" si="70"/>
        <v>16.88</v>
      </c>
      <c r="K175" s="3">
        <f t="shared" si="71"/>
        <v>0.83731025000000014</v>
      </c>
      <c r="L175">
        <f t="shared" si="72"/>
        <v>0</v>
      </c>
      <c r="M175">
        <f t="shared" si="73"/>
        <v>0.17149020200411766</v>
      </c>
      <c r="O175">
        <f t="shared" si="74"/>
        <v>17.888800452004119</v>
      </c>
      <c r="P175">
        <f t="shared" si="75"/>
        <v>0.11765932194147032</v>
      </c>
      <c r="Q175" s="2">
        <f>SUM(P169:P175)</f>
        <v>12.504459061559439</v>
      </c>
      <c r="R175" s="10"/>
    </row>
    <row r="176" spans="1:18" ht="15" customHeight="1">
      <c r="F176" s="13" t="s">
        <v>10</v>
      </c>
      <c r="P176" t="s">
        <v>54</v>
      </c>
      <c r="Q176" s="8">
        <f>Q164+Q175</f>
        <v>0</v>
      </c>
      <c r="R176" s="10"/>
    </row>
    <row r="177" spans="1:18" ht="15" customHeight="1">
      <c r="R177" s="10"/>
    </row>
    <row r="178" spans="1:18" ht="15" customHeight="1">
      <c r="R178" s="10"/>
    </row>
    <row r="179" spans="1:18" ht="15" customHeight="1">
      <c r="A179" t="s">
        <v>58</v>
      </c>
      <c r="D179" t="s">
        <v>59</v>
      </c>
      <c r="E179">
        <f>-92</f>
        <v>-92</v>
      </c>
      <c r="R179" s="10"/>
    </row>
    <row r="180" spans="1:18" ht="15" customHeight="1">
      <c r="B180">
        <v>450</v>
      </c>
      <c r="C180">
        <f>B180+273.15</f>
        <v>723.15</v>
      </c>
      <c r="R180" s="10"/>
    </row>
    <row r="181" spans="1:18" ht="15" customHeight="1">
      <c r="R181" s="10"/>
    </row>
    <row r="182" spans="1:18" ht="15" customHeight="1">
      <c r="A182" t="s">
        <v>20</v>
      </c>
      <c r="B182">
        <f>('MATERIAL BALANCE'!AW4)/(60*60*24)</f>
        <v>0.10637935729847493</v>
      </c>
      <c r="E182">
        <v>3.28</v>
      </c>
      <c r="F182">
        <v>0.59299999999999997</v>
      </c>
      <c r="G182">
        <v>0</v>
      </c>
      <c r="H182">
        <v>0.04</v>
      </c>
      <c r="J182">
        <f>E182*($B$22-$C$180)</f>
        <v>-1394</v>
      </c>
      <c r="K182" s="3">
        <f>F182*$F$8*($B$22-$C$180)</f>
        <v>-0.252025</v>
      </c>
      <c r="L182">
        <f>G182*$G$8*(1/3)*($B$22^3-$C$180^3)</f>
        <v>0</v>
      </c>
      <c r="M182">
        <f>H182*$H$8*(1/($B$22)-1/($C$180))</f>
        <v>7.8847098651136021</v>
      </c>
      <c r="O182">
        <f>SUM(J182:M182)</f>
        <v>-1386.3673151348864</v>
      </c>
      <c r="P182">
        <f>O182*B182*$K$6</f>
        <v>-1226.1559029938815</v>
      </c>
      <c r="R182" s="10"/>
    </row>
    <row r="183" spans="1:18" ht="15" customHeight="1">
      <c r="A183" t="s">
        <v>26</v>
      </c>
      <c r="B183">
        <f>('MATERIAL BALANCE'!AW5)/(60*60*24)</f>
        <v>0.31913807189542481</v>
      </c>
      <c r="E183">
        <v>3.2490000000000001</v>
      </c>
      <c r="F183">
        <v>0.42199999999999999</v>
      </c>
      <c r="G183">
        <v>0</v>
      </c>
      <c r="H183">
        <v>8.3000000000000004E-2</v>
      </c>
      <c r="J183">
        <f>E183*($B$22-$C$180)</f>
        <v>-1380.825</v>
      </c>
      <c r="K183" s="3">
        <f>F183*$F$8*($B$22-$C$180)</f>
        <v>-0.17935000000000001</v>
      </c>
      <c r="L183">
        <f>G183*$G$8*(1/3)*($B$22^3-$C$180^3)</f>
        <v>0</v>
      </c>
      <c r="M183">
        <f>H183*$H$8*(1/($B$22)-1/($C$180))</f>
        <v>16.360772970110727</v>
      </c>
      <c r="O183">
        <f>SUM(J183:M183)</f>
        <v>-1364.6435770298895</v>
      </c>
      <c r="P183">
        <f>O183*B183*$K$6</f>
        <v>-3620.8278120616637</v>
      </c>
      <c r="R183" s="10"/>
    </row>
    <row r="184" spans="1:18" ht="15" customHeight="1">
      <c r="A184" t="s">
        <v>28</v>
      </c>
      <c r="B184">
        <f>('MATERIAL BALANCE'!AW6)/(60*60*24)</f>
        <v>1.2464120370370368E-3</v>
      </c>
      <c r="E184">
        <v>20.786000000000001</v>
      </c>
      <c r="F184">
        <v>1.2300000000000001E-4</v>
      </c>
      <c r="G184">
        <f>-0.136</f>
        <v>-0.13600000000000001</v>
      </c>
      <c r="H184">
        <v>0</v>
      </c>
      <c r="J184">
        <f>E184*($B$22-$C$180)</f>
        <v>-8834.0500000000011</v>
      </c>
      <c r="K184" s="3">
        <f>F184*$F$8*($B$22-$C$180)</f>
        <v>-5.2275000000000003E-5</v>
      </c>
      <c r="L184">
        <f>G184*$G$8*(1/3)*($B$22^3-$C$180^3)</f>
        <v>15.942136237166663</v>
      </c>
      <c r="M184">
        <f>H184*$H$8*(1/($B$22)-1/($C$180))</f>
        <v>0</v>
      </c>
      <c r="O184">
        <f>SUM(J184:M184)</f>
        <v>-8818.107916037834</v>
      </c>
      <c r="P184">
        <f>O184*B184*$K$6</f>
        <v>-91.379139500567604</v>
      </c>
      <c r="Q184" s="2">
        <f>SUM(P182:P184)</f>
        <v>-4938.3628545561123</v>
      </c>
      <c r="R184" s="10"/>
    </row>
    <row r="185" spans="1:18" ht="15" customHeight="1">
      <c r="K185" s="3"/>
      <c r="R185" s="10"/>
    </row>
    <row r="186" spans="1:18" ht="15" customHeight="1">
      <c r="A186" t="s">
        <v>63</v>
      </c>
      <c r="K186" s="3"/>
      <c r="R186" s="10"/>
    </row>
    <row r="187" spans="1:18" ht="15" customHeight="1">
      <c r="B187">
        <v>450</v>
      </c>
      <c r="C187">
        <f>B187+273.15</f>
        <v>723.15</v>
      </c>
      <c r="K187" s="3"/>
      <c r="R187" s="10"/>
    </row>
    <row r="188" spans="1:18" ht="15" customHeight="1">
      <c r="K188" s="3"/>
      <c r="R188" s="10"/>
    </row>
    <row r="189" spans="1:18" ht="15" customHeight="1">
      <c r="A189" t="s">
        <v>20</v>
      </c>
      <c r="B189">
        <f>('MATERIAL BALANCE'!AY4)/(24*60*60)</f>
        <v>8.9358660130718942E-2</v>
      </c>
      <c r="E189">
        <f t="shared" ref="E189:H190" si="76">E182</f>
        <v>3.28</v>
      </c>
      <c r="F189">
        <f t="shared" si="76"/>
        <v>0.59299999999999997</v>
      </c>
      <c r="G189">
        <f t="shared" si="76"/>
        <v>0</v>
      </c>
      <c r="H189">
        <f t="shared" si="76"/>
        <v>0.04</v>
      </c>
      <c r="J189">
        <f>E189*($B$22-$C$180)*-1</f>
        <v>1394</v>
      </c>
      <c r="K189" s="3">
        <f>F189*$F$8*($B$22-$C$180)*-1</f>
        <v>0.252025</v>
      </c>
      <c r="L189">
        <f>G189*$G$8*(1/3)*($B$22^3-$C$180^3)*-1</f>
        <v>0</v>
      </c>
      <c r="M189">
        <f>H189*$H$8*(1/($B$22)-1/($C$180))*-1</f>
        <v>-7.8847098651136021</v>
      </c>
      <c r="O189">
        <f>SUM(J189:M189)</f>
        <v>1386.3673151348864</v>
      </c>
      <c r="P189">
        <f>O189*B189*$K$6</f>
        <v>1029.9709585148605</v>
      </c>
      <c r="R189" s="10"/>
    </row>
    <row r="190" spans="1:18" ht="15" customHeight="1">
      <c r="A190" t="s">
        <v>26</v>
      </c>
      <c r="B190">
        <f>('MATERIAL BALANCE'!AY5)/(24*60*60)</f>
        <v>0.2680759803921568</v>
      </c>
      <c r="E190">
        <f t="shared" si="76"/>
        <v>3.2490000000000001</v>
      </c>
      <c r="F190">
        <f t="shared" si="76"/>
        <v>0.42199999999999999</v>
      </c>
      <c r="G190">
        <f t="shared" si="76"/>
        <v>0</v>
      </c>
      <c r="H190">
        <f t="shared" si="76"/>
        <v>8.3000000000000004E-2</v>
      </c>
      <c r="J190">
        <f>E190*($B$22-$C$180)*-1</f>
        <v>1380.825</v>
      </c>
      <c r="K190" s="3">
        <f>F190*$F$8*($B$22-$C$180)*-1</f>
        <v>0.17935000000000001</v>
      </c>
      <c r="L190">
        <f>G190*$G$8*(1/3)*($B$22^3-$C$180^3)*-1</f>
        <v>0</v>
      </c>
      <c r="M190">
        <f>H190*$H$8*(1/($B$22)-1/($C$180))*-1</f>
        <v>-16.360772970110727</v>
      </c>
      <c r="O190">
        <f>SUM(J190:M190)</f>
        <v>1364.6435770298895</v>
      </c>
      <c r="P190">
        <f>O190*B190*$K$6</f>
        <v>3041.4953621317973</v>
      </c>
      <c r="R190" s="10"/>
    </row>
    <row r="191" spans="1:18" ht="15" customHeight="1">
      <c r="A191" t="s">
        <v>21</v>
      </c>
      <c r="B191">
        <f>('MATERIAL BALANCE'!AY7)/(24*60*60)</f>
        <v>3.4041394335511982E-2</v>
      </c>
      <c r="E191">
        <f>29.75</f>
        <v>29.75</v>
      </c>
      <c r="F191">
        <f>0.00254</f>
        <v>2.5400000000000002E-3</v>
      </c>
      <c r="G191">
        <f>-1.226</f>
        <v>-1.226</v>
      </c>
      <c r="H191">
        <f>7.55*10^5</f>
        <v>755000</v>
      </c>
      <c r="J191">
        <f>E191*($B$22-$C$180)*-1</f>
        <v>12643.75</v>
      </c>
      <c r="K191" s="3">
        <f>F191*$F$8*($B$22-$C$180)*-1</f>
        <v>1.0795000000000002E-3</v>
      </c>
      <c r="L191">
        <f>G191*$G$8*(1/3)*($B$22^3-$C$180^3)*-1</f>
        <v>-143.71366931445831</v>
      </c>
      <c r="M191">
        <f>10^-5*(H191*$H$8*(1/($B$22)-1/($C$180))*-1)</f>
        <v>-1488.2389870401926</v>
      </c>
      <c r="O191">
        <f>SUM(J191:M191)</f>
        <v>11011.798423145348</v>
      </c>
      <c r="P191">
        <f>O191*B191*$K$6</f>
        <v>3116.5608690778331</v>
      </c>
      <c r="R191" s="10"/>
    </row>
    <row r="192" spans="1:18" ht="15" customHeight="1">
      <c r="A192" t="s">
        <v>28</v>
      </c>
      <c r="B192">
        <f>('MATERIAL BALANCE'!AY6)/(24*60*60)</f>
        <v>1.2464120370370368E-3</v>
      </c>
      <c r="E192">
        <v>20.786000000000001</v>
      </c>
      <c r="F192">
        <v>1.2300000000000001E-4</v>
      </c>
      <c r="G192">
        <f>-0.136</f>
        <v>-0.13600000000000001</v>
      </c>
      <c r="H192">
        <v>0</v>
      </c>
      <c r="J192">
        <f>E192*($B$22-$C$180)*-1</f>
        <v>8834.0500000000011</v>
      </c>
      <c r="K192" s="3">
        <f>F192*$F$8*($B$22-$C$180)*-1</f>
        <v>5.2275000000000003E-5</v>
      </c>
      <c r="L192">
        <f>G192*$G$8*(1/3)*($B$22^3-$C$180^3)*-1</f>
        <v>-15.942136237166663</v>
      </c>
      <c r="M192">
        <f>H192*$H$8*(1/($B$22)-1/($C$180))*-1</f>
        <v>0</v>
      </c>
      <c r="O192">
        <f>SUM(J192:M192)</f>
        <v>8818.107916037834</v>
      </c>
      <c r="P192">
        <f>O192*B192*$K$6</f>
        <v>91.379139500567604</v>
      </c>
      <c r="Q192" s="2">
        <f>SUM(P189:P192)</f>
        <v>7279.4063292250585</v>
      </c>
      <c r="R192" s="10"/>
    </row>
    <row r="193" spans="16:18" ht="15" customHeight="1">
      <c r="R193" s="10"/>
    </row>
    <row r="194" spans="16:18" ht="15" customHeight="1">
      <c r="P194" t="s">
        <v>54</v>
      </c>
      <c r="Q194" s="8">
        <f>Q192+Q184+(E179*'HEAT TRANSFER'!AX11*1000/(24*60*60))</f>
        <v>2341.0434746689461</v>
      </c>
      <c r="R194" s="10"/>
    </row>
    <row r="195" spans="16:18" ht="15" customHeight="1">
      <c r="R195" s="10"/>
    </row>
    <row r="196" spans="16:18" ht="15" customHeight="1">
      <c r="R196" s="10"/>
    </row>
    <row r="197" spans="16:18" ht="15" customHeight="1">
      <c r="R197" s="10"/>
    </row>
    <row r="198" spans="16:18" ht="15" customHeight="1">
      <c r="R198" s="10"/>
    </row>
    <row r="199" spans="16:18" ht="15" customHeight="1">
      <c r="R199" s="10"/>
    </row>
    <row r="200" spans="16:18" ht="15" customHeight="1">
      <c r="R200" s="10"/>
    </row>
    <row r="201" spans="16:18" ht="15" customHeight="1">
      <c r="R201" s="10"/>
    </row>
    <row r="202" spans="16:18" ht="15" customHeight="1">
      <c r="R202" s="10"/>
    </row>
    <row r="203" spans="16:18" ht="15" customHeight="1">
      <c r="R203" s="10"/>
    </row>
    <row r="204" spans="16:18" ht="15" customHeight="1">
      <c r="R204" s="10"/>
    </row>
    <row r="205" spans="16:18" ht="15" customHeight="1">
      <c r="R205" s="10"/>
    </row>
    <row r="206" spans="16:18" ht="15" customHeight="1">
      <c r="R206" s="10"/>
    </row>
    <row r="207" spans="16:18" ht="15" customHeight="1">
      <c r="R207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235A2-727D-4E4C-BF02-A1FC8EFE8453}">
  <dimension ref="A1"/>
  <sheetViews>
    <sheetView tabSelected="1"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MATERIAL BALANCE</vt:lpstr>
      <vt:lpstr>ENERGY BALANCE</vt:lpstr>
      <vt:lpstr>fluids</vt:lpstr>
      <vt:lpstr>HEAT TRANSFER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MOUNI SREELATHA PEDDIREDDY</dc:creator>
  <cp:keywords/>
  <dc:description/>
  <cp:lastModifiedBy>MOUNI SREELATHA PEDDIREDDY</cp:lastModifiedBy>
  <cp:revision/>
  <dcterms:created xsi:type="dcterms:W3CDTF">2025-10-26T02:04:44Z</dcterms:created>
  <dcterms:modified xsi:type="dcterms:W3CDTF">2026-08-31T06:16:10Z</dcterms:modified>
  <cp:category/>
  <cp:contentStatus/>
</cp:coreProperties>
</file>