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0DD379B5EF09780/Documents/"/>
    </mc:Choice>
  </mc:AlternateContent>
  <xr:revisionPtr revIDLastSave="403" documentId="13_ncr:20001_{5F6B650F-28EC-4316-88B6-5677FF9E3AAB}" xr6:coauthVersionLast="47" xr6:coauthVersionMax="47" xr10:uidLastSave="{81A68753-AF88-45A6-8D03-AC168E25FA9D}"/>
  <bookViews>
    <workbookView xWindow="-108" yWindow="-108" windowWidth="23256" windowHeight="12456" xr2:uid="{00000000-000D-0000-FFFF-FFFF00000000}"/>
  </bookViews>
  <sheets>
    <sheet name="energy target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8" l="1"/>
  <c r="J15" i="8"/>
  <c r="D15" i="8"/>
  <c r="I15" i="8" s="1"/>
  <c r="I18" i="8"/>
  <c r="J14" i="8"/>
  <c r="I14" i="8"/>
  <c r="D16" i="8"/>
  <c r="I16" i="8" s="1"/>
  <c r="J16" i="8"/>
  <c r="J17" i="8"/>
  <c r="I17" i="8"/>
  <c r="J18" i="8"/>
  <c r="J19" i="8"/>
  <c r="K19" i="8" s="1"/>
  <c r="J20" i="8"/>
  <c r="J21" i="8"/>
  <c r="J22" i="8"/>
  <c r="I22" i="8"/>
  <c r="I19" i="8"/>
  <c r="I20" i="8"/>
  <c r="I21" i="8"/>
  <c r="H10" i="8"/>
  <c r="E10" i="8"/>
  <c r="H9" i="8"/>
  <c r="E9" i="8"/>
  <c r="H8" i="8"/>
  <c r="E8" i="8"/>
  <c r="H7" i="8"/>
  <c r="E7" i="8"/>
  <c r="H6" i="8"/>
  <c r="E6" i="8"/>
  <c r="H5" i="8"/>
  <c r="E5" i="8"/>
  <c r="H4" i="8"/>
  <c r="E4" i="8"/>
  <c r="H3" i="8"/>
  <c r="E3" i="8"/>
  <c r="H23" i="8" s="1"/>
  <c r="H2" i="8"/>
  <c r="E2" i="8"/>
  <c r="H24" i="8" s="1"/>
  <c r="K18" i="8" l="1"/>
  <c r="K16" i="8"/>
  <c r="H15" i="8"/>
  <c r="K20" i="8"/>
  <c r="K17" i="8"/>
  <c r="K22" i="8"/>
  <c r="K14" i="8"/>
  <c r="K21" i="8"/>
  <c r="K15" i="8"/>
  <c r="H16" i="8"/>
  <c r="H14" i="8"/>
  <c r="H17" i="8"/>
  <c r="I8" i="8"/>
  <c r="H20" i="8" s="1"/>
  <c r="I7" i="8"/>
  <c r="H19" i="8" s="1"/>
  <c r="I4" i="8"/>
  <c r="I5" i="8"/>
  <c r="I6" i="8"/>
  <c r="I10" i="8"/>
  <c r="H22" i="8" s="1"/>
  <c r="I2" i="8"/>
  <c r="I3" i="8"/>
  <c r="I9" i="8"/>
  <c r="H21" i="8" s="1"/>
  <c r="L14" i="8" l="1"/>
  <c r="N14" i="8" s="1"/>
  <c r="L20" i="8"/>
  <c r="N20" i="8" s="1"/>
  <c r="L17" i="8"/>
  <c r="N17" i="8" s="1"/>
  <c r="L21" i="8"/>
  <c r="N21" i="8" s="1"/>
  <c r="L15" i="8"/>
  <c r="N15" i="8" s="1"/>
  <c r="L22" i="8"/>
  <c r="N22" i="8" s="1"/>
  <c r="L18" i="8"/>
  <c r="N18" i="8" s="1"/>
  <c r="L19" i="8"/>
  <c r="N19" i="8" s="1"/>
  <c r="L16" i="8"/>
  <c r="N16" i="8" s="1"/>
</calcChain>
</file>

<file path=xl/sharedStrings.xml><?xml version="1.0" encoding="utf-8"?>
<sst xmlns="http://schemas.openxmlformats.org/spreadsheetml/2006/main" count="82" uniqueCount="58">
  <si>
    <t>Flow unit</t>
  </si>
  <si>
    <t>Cp</t>
  </si>
  <si>
    <t>mCp</t>
  </si>
  <si>
    <t>Supply T °C</t>
  </si>
  <si>
    <t>Target T °C</t>
  </si>
  <si>
    <t>ΔT °C</t>
  </si>
  <si>
    <t>Heat load kW</t>
  </si>
  <si>
    <t>Stream</t>
  </si>
  <si>
    <t>Steam</t>
  </si>
  <si>
    <t>Natural gas</t>
  </si>
  <si>
    <t>Secondary reformer gas</t>
  </si>
  <si>
    <t>WGS outlet gas</t>
  </si>
  <si>
    <t>Synthesis feed</t>
  </si>
  <si>
    <t>NH3 reactor outlet</t>
  </si>
  <si>
    <t>mass Flow rate</t>
  </si>
  <si>
    <t>kg/s</t>
  </si>
  <si>
    <t>water</t>
  </si>
  <si>
    <t>compressed Air</t>
  </si>
  <si>
    <t>NH3 storage</t>
  </si>
  <si>
    <t>Secondary reformer process gas</t>
  </si>
  <si>
    <t>Hot synthesis gas</t>
  </si>
  <si>
    <t>NH3 synthesis reactor effluent</t>
  </si>
  <si>
    <t>Reactor effluent after HX-07</t>
  </si>
  <si>
    <t>Cooling water</t>
  </si>
  <si>
    <t>Recycle/synthesis gas</t>
  </si>
  <si>
    <t>Refrigerant</t>
  </si>
  <si>
    <t>stream</t>
  </si>
  <si>
    <t>hot fluid</t>
  </si>
  <si>
    <t>cold fluid</t>
  </si>
  <si>
    <t>Hot Tin</t>
  </si>
  <si>
    <t>Hot Tout</t>
  </si>
  <si>
    <t>cold Tin</t>
  </si>
  <si>
    <t>cold Tout</t>
  </si>
  <si>
    <t>del T1</t>
  </si>
  <si>
    <t>del T2</t>
  </si>
  <si>
    <t>LMTD</t>
  </si>
  <si>
    <t>clean area</t>
  </si>
  <si>
    <t>design area</t>
  </si>
  <si>
    <t>type</t>
  </si>
  <si>
    <t>Duty(kW)</t>
  </si>
  <si>
    <t>secondary reformer process gas</t>
  </si>
  <si>
    <t>steam</t>
  </si>
  <si>
    <t>air</t>
  </si>
  <si>
    <t>U</t>
  </si>
  <si>
    <t>natural gas</t>
  </si>
  <si>
    <t>WGS gas</t>
  </si>
  <si>
    <t xml:space="preserve">secondary reformer process gas </t>
  </si>
  <si>
    <t>furnace</t>
  </si>
  <si>
    <t>water heater</t>
  </si>
  <si>
    <t>Shell and tube</t>
  </si>
  <si>
    <t>plate fin heat exchanger</t>
  </si>
  <si>
    <t>Double pipe</t>
  </si>
  <si>
    <t>waste heat boiler/ shell and tube</t>
  </si>
  <si>
    <t xml:space="preserve">plate fin </t>
  </si>
  <si>
    <t>plate heat exchnager</t>
  </si>
  <si>
    <t>shell and tube</t>
  </si>
  <si>
    <t>m</t>
  </si>
  <si>
    <t>cooling water(1.109kg/s)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</si>
</sst>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 applyAlignment="1">
      <alignment vertical="center" wrapText="1"/>
    </xf>
    <xf numFmtId="169" fontId="0" fillId="2" borderId="1" xfId="0" applyNumberFormat="1" applyFill="1" applyBorder="1" applyAlignment="1">
      <alignment vertical="center" wrapText="1"/>
    </xf>
    <xf numFmtId="0" fontId="0" fillId="3" borderId="0" xfId="0" applyFill="1"/>
    <xf numFmtId="169" fontId="0" fillId="2" borderId="2" xfId="0" applyNumberFormat="1" applyFill="1" applyBorder="1" applyAlignment="1">
      <alignment vertical="center" wrapText="1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1C84-586F-4B5D-A982-EA00E052895A}">
  <dimension ref="A1:P26"/>
  <sheetViews>
    <sheetView tabSelected="1" topLeftCell="D1" zoomScale="80" zoomScaleNormal="100" workbookViewId="0">
      <selection activeCell="C19" sqref="C19"/>
    </sheetView>
  </sheetViews>
  <sheetFormatPr defaultRowHeight="14.4" x14ac:dyDescent="0.3"/>
  <cols>
    <col min="1" max="1" width="20.5546875" bestFit="1" customWidth="1"/>
    <col min="2" max="2" width="29.33203125" bestFit="1" customWidth="1"/>
    <col min="3" max="3" width="21.77734375" bestFit="1" customWidth="1"/>
    <col min="4" max="4" width="16.109375" customWidth="1"/>
    <col min="5" max="5" width="15.6640625" customWidth="1"/>
    <col min="6" max="6" width="17.21875" customWidth="1"/>
    <col min="7" max="7" width="23.88671875" customWidth="1"/>
    <col min="8" max="8" width="13.6640625" customWidth="1"/>
    <col min="9" max="9" width="12.6640625" bestFit="1" customWidth="1"/>
    <col min="12" max="12" width="9.5546875" bestFit="1" customWidth="1"/>
    <col min="13" max="13" width="13.33203125" customWidth="1"/>
    <col min="14" max="14" width="10.5546875" bestFit="1" customWidth="1"/>
    <col min="15" max="15" width="18.88671875" customWidth="1"/>
  </cols>
  <sheetData>
    <row r="1" spans="1:16" x14ac:dyDescent="0.3">
      <c r="A1" s="1" t="s">
        <v>7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16" s="2" customFormat="1" x14ac:dyDescent="0.3">
      <c r="A2" s="2" t="s">
        <v>16</v>
      </c>
      <c r="B2" s="2">
        <v>0.86809999999999998</v>
      </c>
      <c r="C2" s="2" t="s">
        <v>15</v>
      </c>
      <c r="D2" s="2">
        <v>4.1840000000000002</v>
      </c>
      <c r="E2" s="2">
        <f>B2*D2</f>
        <v>3.6321303999999999</v>
      </c>
      <c r="F2" s="2">
        <v>25</v>
      </c>
      <c r="G2" s="2">
        <v>400</v>
      </c>
      <c r="H2" s="2">
        <f t="shared" ref="H2:H10" si="0">(G2-F2)</f>
        <v>375</v>
      </c>
      <c r="I2" s="2">
        <f t="shared" ref="I2:I10" si="1">IF(OR(E2="",H2=""),"",E2*H2)</f>
        <v>1362.0489</v>
      </c>
    </row>
    <row r="3" spans="1:16" s="5" customFormat="1" x14ac:dyDescent="0.3">
      <c r="A3" s="5" t="s">
        <v>8</v>
      </c>
      <c r="B3" s="5">
        <v>0.86809999999999998</v>
      </c>
      <c r="C3" s="5" t="s">
        <v>15</v>
      </c>
      <c r="D3" s="5">
        <v>2.2000000000000002</v>
      </c>
      <c r="E3" s="5">
        <f t="shared" ref="E3:E10" si="2">IF(OR(B3="",D3=""),"",B3*D3)</f>
        <v>1.9098200000000001</v>
      </c>
      <c r="F3" s="5">
        <v>400</v>
      </c>
      <c r="G3" s="5">
        <v>850</v>
      </c>
      <c r="H3" s="5">
        <f t="shared" si="0"/>
        <v>450</v>
      </c>
      <c r="I3" s="5">
        <f t="shared" si="1"/>
        <v>859.41899999999998</v>
      </c>
    </row>
    <row r="4" spans="1:16" s="2" customFormat="1" x14ac:dyDescent="0.3">
      <c r="A4" s="2" t="s">
        <v>9</v>
      </c>
      <c r="B4" s="2">
        <v>0.25769999999999998</v>
      </c>
      <c r="C4" s="2" t="s">
        <v>15</v>
      </c>
      <c r="D4" s="2">
        <v>2.8</v>
      </c>
      <c r="E4" s="2">
        <f t="shared" si="2"/>
        <v>0.72155999999999987</v>
      </c>
      <c r="F4" s="2">
        <v>300</v>
      </c>
      <c r="G4" s="2">
        <v>850</v>
      </c>
      <c r="H4" s="2">
        <f>(G4-F4)</f>
        <v>550</v>
      </c>
      <c r="I4" s="2">
        <f t="shared" si="1"/>
        <v>396.85799999999995</v>
      </c>
    </row>
    <row r="5" spans="1:16" s="2" customFormat="1" x14ac:dyDescent="0.3">
      <c r="A5" s="2" t="s">
        <v>17</v>
      </c>
      <c r="B5" s="2">
        <v>0.71619999999999995</v>
      </c>
      <c r="C5" s="2" t="s">
        <v>15</v>
      </c>
      <c r="D5" s="2">
        <v>1.05</v>
      </c>
      <c r="E5" s="2">
        <f t="shared" si="2"/>
        <v>0.75200999999999996</v>
      </c>
      <c r="F5" s="2">
        <v>475</v>
      </c>
      <c r="G5" s="2">
        <v>1000</v>
      </c>
      <c r="H5" s="2">
        <f t="shared" si="0"/>
        <v>525</v>
      </c>
      <c r="I5" s="2">
        <f t="shared" si="1"/>
        <v>394.80525</v>
      </c>
    </row>
    <row r="6" spans="1:16" s="2" customFormat="1" x14ac:dyDescent="0.3">
      <c r="A6" s="2" t="s">
        <v>10</v>
      </c>
      <c r="B6" s="2">
        <v>1.8421000000000001</v>
      </c>
      <c r="C6" s="2" t="s">
        <v>15</v>
      </c>
      <c r="D6" s="2">
        <v>2.1</v>
      </c>
      <c r="E6" s="2">
        <f t="shared" si="2"/>
        <v>3.8684100000000003</v>
      </c>
      <c r="F6" s="2">
        <v>1000</v>
      </c>
      <c r="G6" s="2">
        <v>350</v>
      </c>
      <c r="H6" s="2">
        <f t="shared" si="0"/>
        <v>-650</v>
      </c>
      <c r="I6" s="2">
        <f t="shared" si="1"/>
        <v>-2514.4665000000005</v>
      </c>
    </row>
    <row r="7" spans="1:16" s="5" customFormat="1" x14ac:dyDescent="0.3">
      <c r="A7" s="5" t="s">
        <v>11</v>
      </c>
      <c r="B7" s="5">
        <v>1.1806000000000001</v>
      </c>
      <c r="C7" s="5" t="s">
        <v>15</v>
      </c>
      <c r="D7" s="5">
        <v>2.76</v>
      </c>
      <c r="E7" s="5">
        <f t="shared" si="2"/>
        <v>3.2584559999999998</v>
      </c>
      <c r="F7" s="5">
        <v>350</v>
      </c>
      <c r="G7" s="5">
        <v>130</v>
      </c>
      <c r="H7" s="5">
        <f t="shared" si="0"/>
        <v>-220</v>
      </c>
      <c r="I7" s="5">
        <f t="shared" si="1"/>
        <v>-716.86032</v>
      </c>
    </row>
    <row r="8" spans="1:16" x14ac:dyDescent="0.3">
      <c r="A8" t="s">
        <v>12</v>
      </c>
      <c r="B8">
        <v>3.6234999999999999</v>
      </c>
      <c r="C8" t="s">
        <v>15</v>
      </c>
      <c r="D8">
        <v>3.48</v>
      </c>
      <c r="E8">
        <f t="shared" si="2"/>
        <v>12.609779999999999</v>
      </c>
      <c r="F8">
        <v>516.87</v>
      </c>
      <c r="G8">
        <v>450</v>
      </c>
      <c r="H8">
        <f t="shared" si="0"/>
        <v>-66.87</v>
      </c>
      <c r="I8">
        <f t="shared" si="1"/>
        <v>-843.21598859999995</v>
      </c>
    </row>
    <row r="9" spans="1:16" x14ac:dyDescent="0.3">
      <c r="A9" t="s">
        <v>13</v>
      </c>
      <c r="B9">
        <v>3.6234999999999999</v>
      </c>
      <c r="C9" t="s">
        <v>15</v>
      </c>
      <c r="D9">
        <v>3.28</v>
      </c>
      <c r="E9">
        <f t="shared" si="2"/>
        <v>11.885079999999999</v>
      </c>
      <c r="F9">
        <v>450</v>
      </c>
      <c r="G9">
        <v>-20</v>
      </c>
      <c r="H9">
        <f t="shared" si="0"/>
        <v>-470</v>
      </c>
      <c r="I9">
        <f t="shared" si="1"/>
        <v>-5585.9875999999995</v>
      </c>
    </row>
    <row r="10" spans="1:16" x14ac:dyDescent="0.3">
      <c r="A10" t="s">
        <v>18</v>
      </c>
      <c r="B10">
        <v>0.57979999999999998</v>
      </c>
      <c r="C10" t="s">
        <v>15</v>
      </c>
      <c r="D10">
        <v>2.88</v>
      </c>
      <c r="E10">
        <f t="shared" si="2"/>
        <v>1.669824</v>
      </c>
      <c r="F10">
        <v>-20</v>
      </c>
      <c r="G10">
        <v>-33</v>
      </c>
      <c r="H10">
        <f t="shared" si="0"/>
        <v>-13</v>
      </c>
      <c r="I10">
        <f t="shared" si="1"/>
        <v>-21.707712000000001</v>
      </c>
    </row>
    <row r="13" spans="1:16" x14ac:dyDescent="0.3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32</v>
      </c>
      <c r="H13" s="1" t="s">
        <v>39</v>
      </c>
      <c r="I13" s="1" t="s">
        <v>33</v>
      </c>
      <c r="J13" s="1" t="s">
        <v>34</v>
      </c>
      <c r="K13" s="1" t="s">
        <v>35</v>
      </c>
      <c r="L13" s="1" t="s">
        <v>36</v>
      </c>
      <c r="M13" s="1" t="s">
        <v>43</v>
      </c>
      <c r="N13" s="1" t="s">
        <v>37</v>
      </c>
      <c r="O13" s="1" t="s">
        <v>38</v>
      </c>
      <c r="P13" s="1"/>
    </row>
    <row r="14" spans="1:16" s="2" customFormat="1" x14ac:dyDescent="0.3">
      <c r="A14" s="2" t="s">
        <v>16</v>
      </c>
      <c r="B14" s="2" t="s">
        <v>40</v>
      </c>
      <c r="C14" s="2" t="s">
        <v>16</v>
      </c>
      <c r="D14" s="2">
        <v>624.5</v>
      </c>
      <c r="E14" s="2">
        <v>410</v>
      </c>
      <c r="F14" s="2">
        <v>25</v>
      </c>
      <c r="G14" s="2">
        <v>253.4</v>
      </c>
      <c r="H14" s="2">
        <f>E6*(D14-E14)</f>
        <v>829.77394500000003</v>
      </c>
      <c r="I14" s="2">
        <f>(D14-G14)</f>
        <v>371.1</v>
      </c>
      <c r="J14" s="2">
        <f>(E14-F14)</f>
        <v>385</v>
      </c>
      <c r="K14" s="5">
        <f>(J14-I14)/(LN(J14/I14))</f>
        <v>378.00740699732978</v>
      </c>
      <c r="L14" s="2">
        <f>(1000*H14/(M14*K14))</f>
        <v>21.951261526625625</v>
      </c>
      <c r="M14" s="2">
        <v>100</v>
      </c>
      <c r="N14" s="2">
        <f>1.15*L14</f>
        <v>25.243950755619469</v>
      </c>
      <c r="O14" s="2" t="s">
        <v>52</v>
      </c>
    </row>
    <row r="15" spans="1:16" s="5" customFormat="1" x14ac:dyDescent="0.3">
      <c r="A15" s="5" t="s">
        <v>8</v>
      </c>
      <c r="B15" s="5" t="s">
        <v>46</v>
      </c>
      <c r="C15" s="5" t="s">
        <v>41</v>
      </c>
      <c r="D15" s="5">
        <f>E16</f>
        <v>794.4</v>
      </c>
      <c r="E15" s="5">
        <v>622.55999999999995</v>
      </c>
      <c r="F15" s="5">
        <v>400</v>
      </c>
      <c r="G15" s="5">
        <v>750</v>
      </c>
      <c r="H15" s="5">
        <f>E6*(D15-E15)</f>
        <v>664.74757440000019</v>
      </c>
      <c r="I15" s="5">
        <f>(D15-G15)</f>
        <v>44.399999999999977</v>
      </c>
      <c r="J15" s="5">
        <f>(E15-F15)</f>
        <v>222.55999999999995</v>
      </c>
      <c r="K15" s="5">
        <f>(J15-I15)/(LN(J15/I15))</f>
        <v>110.52402229299609</v>
      </c>
      <c r="L15" s="5">
        <f t="shared" ref="L15:L22" si="3">(1000*H15/(M15*K15))</f>
        <v>75.181345264219217</v>
      </c>
      <c r="M15" s="5">
        <v>80</v>
      </c>
      <c r="N15" s="5">
        <f>1.15*L15</f>
        <v>86.458547053852087</v>
      </c>
      <c r="O15" s="5" t="s">
        <v>49</v>
      </c>
    </row>
    <row r="16" spans="1:16" s="2" customFormat="1" x14ac:dyDescent="0.3">
      <c r="A16" s="2" t="s">
        <v>9</v>
      </c>
      <c r="B16" s="2" t="s">
        <v>40</v>
      </c>
      <c r="C16" s="2" t="s">
        <v>44</v>
      </c>
      <c r="D16" s="2">
        <f>E17</f>
        <v>897.5</v>
      </c>
      <c r="E16" s="2">
        <v>794.4</v>
      </c>
      <c r="F16" s="2">
        <v>300</v>
      </c>
      <c r="G16" s="2">
        <v>850</v>
      </c>
      <c r="H16" s="2">
        <f>E6*(D16-E16)</f>
        <v>398.83307100000013</v>
      </c>
      <c r="I16" s="2">
        <f>(D16-G16)</f>
        <v>47.5</v>
      </c>
      <c r="J16" s="2">
        <f>(E16-F16)</f>
        <v>494.4</v>
      </c>
      <c r="K16" s="5">
        <f t="shared" ref="K16:K22" si="4">(J16-I16)/(LN(J16/I16))</f>
        <v>190.76970086005636</v>
      </c>
      <c r="L16" s="2">
        <f t="shared" si="3"/>
        <v>52.266301881525408</v>
      </c>
      <c r="M16" s="2">
        <v>40</v>
      </c>
      <c r="N16" s="2">
        <f t="shared" ref="N16:N22" si="5">1.15*L16</f>
        <v>60.106247163754212</v>
      </c>
      <c r="O16" s="2" t="s">
        <v>51</v>
      </c>
    </row>
    <row r="17" spans="1:15" s="2" customFormat="1" x14ac:dyDescent="0.3">
      <c r="A17" s="2" t="s">
        <v>17</v>
      </c>
      <c r="B17" s="2" t="s">
        <v>40</v>
      </c>
      <c r="C17" s="2" t="s">
        <v>42</v>
      </c>
      <c r="D17" s="2">
        <v>1000</v>
      </c>
      <c r="E17" s="2">
        <v>897.5</v>
      </c>
      <c r="F17" s="2">
        <v>475</v>
      </c>
      <c r="G17" s="2">
        <v>990</v>
      </c>
      <c r="H17" s="2">
        <f>E6*(D17-E17)</f>
        <v>396.51202500000005</v>
      </c>
      <c r="I17" s="2">
        <f>(D17-G17)</f>
        <v>10</v>
      </c>
      <c r="J17" s="2">
        <f>(E17-F17)</f>
        <v>422.5</v>
      </c>
      <c r="K17" s="5">
        <f t="shared" si="4"/>
        <v>110.18792613085172</v>
      </c>
      <c r="L17" s="2">
        <f t="shared" si="3"/>
        <v>71.970140272742626</v>
      </c>
      <c r="M17" s="2">
        <v>50</v>
      </c>
      <c r="N17" s="2">
        <f t="shared" si="5"/>
        <v>82.765661313654007</v>
      </c>
      <c r="O17" s="2" t="s">
        <v>50</v>
      </c>
    </row>
    <row r="18" spans="1:15" s="2" customFormat="1" x14ac:dyDescent="0.3">
      <c r="A18" s="2" t="s">
        <v>10</v>
      </c>
      <c r="B18" s="3" t="s">
        <v>19</v>
      </c>
      <c r="C18" s="3" t="s">
        <v>57</v>
      </c>
      <c r="D18" s="4">
        <v>410</v>
      </c>
      <c r="E18" s="4">
        <v>350</v>
      </c>
      <c r="F18" s="4">
        <v>30</v>
      </c>
      <c r="G18" s="4">
        <v>80</v>
      </c>
      <c r="H18" s="2">
        <f>F26*D2*(G18-F18)</f>
        <v>232.00280000000001</v>
      </c>
      <c r="I18" s="2">
        <f t="shared" ref="I16:I22" si="6">(D18-G18)</f>
        <v>330</v>
      </c>
      <c r="J18" s="2">
        <f t="shared" ref="J16:J22" si="7">(E18-F18)</f>
        <v>320</v>
      </c>
      <c r="K18" s="5">
        <f t="shared" si="4"/>
        <v>324.97435735579012</v>
      </c>
      <c r="L18" s="2">
        <f t="shared" si="3"/>
        <v>8.9238887141638958</v>
      </c>
      <c r="M18" s="2">
        <v>80</v>
      </c>
      <c r="N18" s="2">
        <f t="shared" si="5"/>
        <v>10.262472021288479</v>
      </c>
    </row>
    <row r="19" spans="1:15" s="2" customFormat="1" x14ac:dyDescent="0.3">
      <c r="A19" s="2" t="s">
        <v>11</v>
      </c>
      <c r="B19" s="3" t="s">
        <v>45</v>
      </c>
      <c r="C19" s="3" t="s">
        <v>23</v>
      </c>
      <c r="D19" s="4">
        <v>350</v>
      </c>
      <c r="E19" s="4">
        <v>130</v>
      </c>
      <c r="F19" s="4">
        <v>30</v>
      </c>
      <c r="G19" s="4">
        <v>80</v>
      </c>
      <c r="H19" s="2">
        <f t="shared" ref="H15:H23" si="8">ABS(I7)</f>
        <v>716.86032</v>
      </c>
      <c r="I19" s="2">
        <f t="shared" si="6"/>
        <v>270</v>
      </c>
      <c r="J19" s="2">
        <f t="shared" si="7"/>
        <v>100</v>
      </c>
      <c r="K19" s="5">
        <f t="shared" si="4"/>
        <v>171.15499274144256</v>
      </c>
      <c r="L19" s="2">
        <f t="shared" si="3"/>
        <v>41.883693167101121</v>
      </c>
      <c r="M19" s="2">
        <v>100</v>
      </c>
      <c r="N19" s="2">
        <f t="shared" si="5"/>
        <v>48.166247142166284</v>
      </c>
      <c r="O19" s="2" t="s">
        <v>49</v>
      </c>
    </row>
    <row r="20" spans="1:15" s="2" customFormat="1" x14ac:dyDescent="0.3">
      <c r="A20" s="2" t="s">
        <v>12</v>
      </c>
      <c r="B20" s="3" t="s">
        <v>20</v>
      </c>
      <c r="C20" s="3" t="s">
        <v>24</v>
      </c>
      <c r="D20" s="4">
        <v>450</v>
      </c>
      <c r="E20" s="4">
        <v>400</v>
      </c>
      <c r="F20" s="4">
        <v>30</v>
      </c>
      <c r="G20" s="4">
        <v>60</v>
      </c>
      <c r="H20" s="2">
        <f t="shared" si="8"/>
        <v>843.21598859999995</v>
      </c>
      <c r="I20" s="2">
        <f t="shared" si="6"/>
        <v>390</v>
      </c>
      <c r="J20" s="2">
        <f t="shared" si="7"/>
        <v>370</v>
      </c>
      <c r="K20" s="5">
        <f t="shared" si="4"/>
        <v>379.91226449655875</v>
      </c>
      <c r="L20" s="2">
        <f t="shared" si="3"/>
        <v>49.322264193894505</v>
      </c>
      <c r="M20" s="2">
        <v>45</v>
      </c>
      <c r="N20" s="2">
        <f t="shared" si="5"/>
        <v>56.720603822978674</v>
      </c>
      <c r="O20" s="2" t="s">
        <v>53</v>
      </c>
    </row>
    <row r="21" spans="1:15" s="2" customFormat="1" x14ac:dyDescent="0.3">
      <c r="A21" s="2" t="s">
        <v>13</v>
      </c>
      <c r="B21" s="3" t="s">
        <v>21</v>
      </c>
      <c r="C21" s="3" t="s">
        <v>23</v>
      </c>
      <c r="D21" s="4">
        <v>450</v>
      </c>
      <c r="E21" s="4">
        <v>100</v>
      </c>
      <c r="F21" s="4">
        <v>30</v>
      </c>
      <c r="G21" s="4">
        <v>80</v>
      </c>
      <c r="H21" s="2">
        <f t="shared" si="8"/>
        <v>5585.9875999999995</v>
      </c>
      <c r="I21" s="2">
        <f t="shared" si="6"/>
        <v>370</v>
      </c>
      <c r="J21" s="2">
        <f t="shared" si="7"/>
        <v>70</v>
      </c>
      <c r="K21" s="5">
        <f t="shared" si="4"/>
        <v>180.17934003704124</v>
      </c>
      <c r="L21" s="2">
        <f t="shared" si="3"/>
        <v>310.02375737704625</v>
      </c>
      <c r="M21" s="2">
        <v>100</v>
      </c>
      <c r="N21" s="2">
        <f t="shared" si="5"/>
        <v>356.52732098360315</v>
      </c>
      <c r="O21" s="2" t="s">
        <v>55</v>
      </c>
    </row>
    <row r="22" spans="1:15" s="2" customFormat="1" x14ac:dyDescent="0.3">
      <c r="A22" s="2" t="s">
        <v>18</v>
      </c>
      <c r="B22" s="3" t="s">
        <v>22</v>
      </c>
      <c r="C22" s="3" t="s">
        <v>25</v>
      </c>
      <c r="D22" s="4">
        <v>100</v>
      </c>
      <c r="E22" s="4">
        <v>-20</v>
      </c>
      <c r="F22" s="4">
        <v>-30</v>
      </c>
      <c r="G22" s="4">
        <v>-10</v>
      </c>
      <c r="H22" s="2">
        <f t="shared" si="8"/>
        <v>21.707712000000001</v>
      </c>
      <c r="I22" s="2">
        <f t="shared" si="6"/>
        <v>110</v>
      </c>
      <c r="J22" s="2">
        <f t="shared" si="7"/>
        <v>10</v>
      </c>
      <c r="K22" s="5">
        <f t="shared" si="4"/>
        <v>41.703239142424628</v>
      </c>
      <c r="L22" s="2">
        <f t="shared" si="3"/>
        <v>3.4701879992045646</v>
      </c>
      <c r="M22" s="2">
        <v>150</v>
      </c>
      <c r="N22" s="2">
        <f t="shared" si="5"/>
        <v>3.9907161990852491</v>
      </c>
      <c r="O22" s="2" t="s">
        <v>54</v>
      </c>
    </row>
    <row r="23" spans="1:15" x14ac:dyDescent="0.3">
      <c r="A23" s="2" t="s">
        <v>41</v>
      </c>
      <c r="F23" s="6">
        <v>750</v>
      </c>
      <c r="G23" s="6">
        <v>850</v>
      </c>
      <c r="H23" s="2">
        <f>(E3*(G23-F23))</f>
        <v>190.982</v>
      </c>
      <c r="O23" t="s">
        <v>47</v>
      </c>
    </row>
    <row r="24" spans="1:15" x14ac:dyDescent="0.3">
      <c r="A24" s="7" t="s">
        <v>16</v>
      </c>
      <c r="F24" s="6">
        <v>253.4</v>
      </c>
      <c r="G24" s="6">
        <v>400</v>
      </c>
      <c r="H24" s="2">
        <f>(E2*(G24-F24))</f>
        <v>532.47031663999996</v>
      </c>
      <c r="O24" t="s">
        <v>48</v>
      </c>
    </row>
    <row r="26" spans="1:15" x14ac:dyDescent="0.3">
      <c r="E26" t="s">
        <v>56</v>
      </c>
      <c r="F26">
        <v>1.109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 SREELATHA PEDDIREDDY</cp:lastModifiedBy>
  <dcterms:created xsi:type="dcterms:W3CDTF">2026-08-31T06:13:21Z</dcterms:created>
  <dcterms:modified xsi:type="dcterms:W3CDTF">2026-08-31T12:38:09Z</dcterms:modified>
</cp:coreProperties>
</file>